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urciun\Desktop\ai-xyz\"/>
    </mc:Choice>
  </mc:AlternateContent>
  <xr:revisionPtr revIDLastSave="0" documentId="13_ncr:1_{8489C80C-A61F-4EF3-98C4-7D5AB1862FCB}" xr6:coauthVersionLast="47" xr6:coauthVersionMax="47" xr10:uidLastSave="{00000000-0000-0000-0000-000000000000}"/>
  <bookViews>
    <workbookView xWindow="-120" yWindow="-120" windowWidth="29040" windowHeight="15720" xr2:uid="{E7E1C361-712A-44C1-AEB4-52B000C71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" i="1" l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71" i="1"/>
  <c r="J21" i="1"/>
  <c r="J22" i="1"/>
  <c r="J23" i="1"/>
  <c r="J24" i="1"/>
  <c r="J25" i="1"/>
  <c r="J26" i="1"/>
  <c r="J27" i="1"/>
  <c r="J28" i="1"/>
  <c r="K28" i="1" s="1"/>
  <c r="J29" i="1"/>
  <c r="J30" i="1"/>
  <c r="J31" i="1"/>
  <c r="J32" i="1"/>
  <c r="J33" i="1"/>
  <c r="J34" i="1"/>
  <c r="K34" i="1" s="1"/>
  <c r="J35" i="1"/>
  <c r="J36" i="1"/>
  <c r="K36" i="1" s="1"/>
  <c r="J37" i="1"/>
  <c r="J38" i="1"/>
  <c r="J39" i="1"/>
  <c r="J40" i="1"/>
  <c r="J41" i="1"/>
  <c r="J42" i="1"/>
  <c r="K42" i="1" s="1"/>
  <c r="J43" i="1"/>
  <c r="J44" i="1"/>
  <c r="J45" i="1"/>
  <c r="J46" i="1"/>
  <c r="J47" i="1"/>
  <c r="J48" i="1"/>
  <c r="J49" i="1"/>
  <c r="J50" i="1"/>
  <c r="K50" i="1" s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K66" i="1" s="1"/>
  <c r="J67" i="1"/>
  <c r="J68" i="1"/>
  <c r="K68" i="1" s="1"/>
  <c r="J69" i="1"/>
  <c r="J20" i="1"/>
  <c r="K27" i="1"/>
  <c r="K35" i="1"/>
  <c r="K51" i="1"/>
  <c r="K52" i="1"/>
  <c r="K59" i="1"/>
  <c r="K60" i="1"/>
  <c r="K67" i="1"/>
  <c r="K58" i="1"/>
  <c r="K44" i="1"/>
  <c r="K20" i="1"/>
  <c r="O69" i="1"/>
  <c r="K21" i="1"/>
  <c r="K22" i="1"/>
  <c r="K23" i="1"/>
  <c r="K24" i="1"/>
  <c r="K25" i="1"/>
  <c r="K26" i="1"/>
  <c r="K29" i="1"/>
  <c r="K30" i="1"/>
  <c r="K31" i="1"/>
  <c r="K32" i="1"/>
  <c r="K33" i="1"/>
  <c r="K37" i="1"/>
  <c r="K38" i="1"/>
  <c r="K39" i="1"/>
  <c r="K40" i="1"/>
  <c r="K41" i="1"/>
  <c r="K43" i="1"/>
  <c r="K45" i="1"/>
  <c r="K46" i="1"/>
  <c r="K47" i="1"/>
  <c r="K48" i="1"/>
  <c r="K49" i="1"/>
  <c r="K53" i="1"/>
  <c r="K54" i="1"/>
  <c r="K55" i="1"/>
  <c r="K56" i="1"/>
  <c r="K57" i="1"/>
  <c r="K61" i="1"/>
  <c r="K62" i="1"/>
  <c r="K63" i="1"/>
  <c r="K64" i="1"/>
  <c r="K65" i="1"/>
  <c r="F5" i="1"/>
  <c r="F6" i="1" s="1"/>
  <c r="G5" i="1"/>
  <c r="G6" i="1" s="1"/>
  <c r="H5" i="1"/>
  <c r="H6" i="1" s="1"/>
  <c r="I5" i="1"/>
  <c r="I6" i="1" s="1"/>
  <c r="J5" i="1"/>
  <c r="J6" i="1" s="1"/>
  <c r="B21" i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20" i="1"/>
  <c r="B19" i="1"/>
  <c r="I19" i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H1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D20" i="1"/>
  <c r="G40" i="1"/>
  <c r="G41" i="1"/>
  <c r="G42" i="1"/>
  <c r="G43" i="1"/>
  <c r="G44" i="1"/>
  <c r="E19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H19" i="1"/>
  <c r="B53" i="1" l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D21" i="1"/>
  <c r="F8" i="1"/>
  <c r="H20" i="1"/>
  <c r="E20" i="1"/>
  <c r="F19" i="1"/>
  <c r="E21" i="1" l="1"/>
  <c r="H21" i="1"/>
  <c r="G8" i="1"/>
  <c r="D22" i="1"/>
  <c r="J19" i="1"/>
  <c r="D23" i="1" l="1"/>
  <c r="E22" i="1"/>
  <c r="H22" i="1"/>
  <c r="H8" i="1"/>
  <c r="I8" i="1" l="1"/>
  <c r="D24" i="1"/>
  <c r="H23" i="1"/>
  <c r="E23" i="1"/>
  <c r="D25" i="1" l="1"/>
  <c r="E24" i="1"/>
  <c r="H24" i="1"/>
  <c r="J8" i="1"/>
  <c r="M22" i="1"/>
  <c r="L22" i="1" s="1"/>
  <c r="N22" i="1" l="1"/>
  <c r="O22" i="1" s="1"/>
  <c r="M23" i="1"/>
  <c r="L23" i="1" s="1"/>
  <c r="M19" i="1"/>
  <c r="M21" i="1"/>
  <c r="L21" i="1" s="1"/>
  <c r="M20" i="1"/>
  <c r="L20" i="1" s="1"/>
  <c r="D26" i="1"/>
  <c r="M25" i="1"/>
  <c r="L25" i="1" s="1"/>
  <c r="E25" i="1"/>
  <c r="H25" i="1"/>
  <c r="M24" i="1"/>
  <c r="L24" i="1" s="1"/>
  <c r="N21" i="1" l="1"/>
  <c r="O21" i="1" s="1"/>
  <c r="N25" i="1"/>
  <c r="O25" i="1" s="1"/>
  <c r="N20" i="1"/>
  <c r="O20" i="1" s="1"/>
  <c r="L19" i="1"/>
  <c r="N19" i="1"/>
  <c r="O19" i="1" s="1"/>
  <c r="N24" i="1"/>
  <c r="O24" i="1" s="1"/>
  <c r="N23" i="1"/>
  <c r="O23" i="1" s="1"/>
  <c r="D27" i="1"/>
  <c r="M26" i="1"/>
  <c r="L26" i="1" s="1"/>
  <c r="H26" i="1"/>
  <c r="E26" i="1"/>
  <c r="N26" i="1" l="1"/>
  <c r="O26" i="1" s="1"/>
  <c r="D28" i="1"/>
  <c r="M27" i="1"/>
  <c r="L27" i="1" s="1"/>
  <c r="E27" i="1"/>
  <c r="H27" i="1"/>
  <c r="N27" i="1" l="1"/>
  <c r="O27" i="1" s="1"/>
  <c r="D29" i="1"/>
  <c r="M28" i="1"/>
  <c r="L28" i="1" s="1"/>
  <c r="H28" i="1"/>
  <c r="E28" i="1"/>
  <c r="N28" i="1" l="1"/>
  <c r="O28" i="1" s="1"/>
  <c r="D30" i="1"/>
  <c r="M29" i="1"/>
  <c r="L29" i="1" s="1"/>
  <c r="E29" i="1"/>
  <c r="H29" i="1"/>
  <c r="N29" i="1" l="1"/>
  <c r="O29" i="1" s="1"/>
  <c r="D31" i="1"/>
  <c r="M30" i="1"/>
  <c r="L30" i="1" s="1"/>
  <c r="E30" i="1"/>
  <c r="H30" i="1"/>
  <c r="N30" i="1" l="1"/>
  <c r="O30" i="1" s="1"/>
  <c r="D32" i="1"/>
  <c r="M31" i="1"/>
  <c r="L31" i="1" s="1"/>
  <c r="E31" i="1"/>
  <c r="H31" i="1"/>
  <c r="N31" i="1" l="1"/>
  <c r="O31" i="1" s="1"/>
  <c r="D33" i="1"/>
  <c r="M32" i="1"/>
  <c r="L32" i="1" s="1"/>
  <c r="E32" i="1"/>
  <c r="H32" i="1"/>
  <c r="N32" i="1" l="1"/>
  <c r="O32" i="1" s="1"/>
  <c r="D34" i="1"/>
  <c r="M33" i="1"/>
  <c r="L33" i="1" s="1"/>
  <c r="H33" i="1"/>
  <c r="E33" i="1"/>
  <c r="N33" i="1" l="1"/>
  <c r="O33" i="1" s="1"/>
  <c r="D35" i="1"/>
  <c r="M34" i="1"/>
  <c r="L34" i="1" s="1"/>
  <c r="H34" i="1"/>
  <c r="E34" i="1"/>
  <c r="N34" i="1" l="1"/>
  <c r="O34" i="1" s="1"/>
  <c r="D36" i="1"/>
  <c r="M35" i="1"/>
  <c r="L35" i="1" s="1"/>
  <c r="H35" i="1"/>
  <c r="E35" i="1"/>
  <c r="N35" i="1" l="1"/>
  <c r="O35" i="1" s="1"/>
  <c r="D37" i="1"/>
  <c r="M36" i="1"/>
  <c r="L36" i="1" s="1"/>
  <c r="E36" i="1"/>
  <c r="H36" i="1"/>
  <c r="N36" i="1" l="1"/>
  <c r="O36" i="1" s="1"/>
  <c r="D38" i="1"/>
  <c r="M37" i="1"/>
  <c r="E37" i="1"/>
  <c r="H37" i="1"/>
  <c r="L37" i="1" l="1"/>
  <c r="N37" i="1"/>
  <c r="O37" i="1" s="1"/>
  <c r="D39" i="1"/>
  <c r="M38" i="1"/>
  <c r="H38" i="1"/>
  <c r="E38" i="1"/>
  <c r="L38" i="1" l="1"/>
  <c r="N38" i="1"/>
  <c r="O38" i="1" s="1"/>
  <c r="D40" i="1"/>
  <c r="M39" i="1"/>
  <c r="E39" i="1"/>
  <c r="H39" i="1"/>
  <c r="L39" i="1" l="1"/>
  <c r="N39" i="1"/>
  <c r="O39" i="1" s="1"/>
  <c r="D41" i="1"/>
  <c r="M40" i="1"/>
  <c r="E40" i="1"/>
  <c r="L40" i="1" l="1"/>
  <c r="N40" i="1"/>
  <c r="O40" i="1" s="1"/>
  <c r="C40" i="1" s="1"/>
  <c r="F40" i="1" s="1"/>
  <c r="D42" i="1"/>
  <c r="M41" i="1"/>
  <c r="E41" i="1"/>
  <c r="F41" i="1" l="1"/>
  <c r="C41" i="1"/>
  <c r="L41" i="1"/>
  <c r="N41" i="1"/>
  <c r="O41" i="1" s="1"/>
  <c r="D43" i="1"/>
  <c r="M42" i="1"/>
  <c r="E42" i="1"/>
  <c r="C42" i="1" l="1"/>
  <c r="F42" i="1"/>
  <c r="H41" i="1"/>
  <c r="L42" i="1"/>
  <c r="N42" i="1"/>
  <c r="O42" i="1" s="1"/>
  <c r="D44" i="1"/>
  <c r="M43" i="1"/>
  <c r="E43" i="1"/>
  <c r="F43" i="1" l="1"/>
  <c r="C43" i="1"/>
  <c r="L43" i="1"/>
  <c r="N43" i="1"/>
  <c r="O43" i="1" s="1"/>
  <c r="H42" i="1"/>
  <c r="D45" i="1"/>
  <c r="M44" i="1"/>
  <c r="E44" i="1"/>
  <c r="L44" i="1" l="1"/>
  <c r="N44" i="1"/>
  <c r="O44" i="1" s="1"/>
  <c r="C44" i="1" s="1"/>
  <c r="F44" i="1" s="1"/>
  <c r="H43" i="1"/>
  <c r="D46" i="1"/>
  <c r="M45" i="1"/>
  <c r="E45" i="1"/>
  <c r="F45" i="1" l="1"/>
  <c r="C45" i="1"/>
  <c r="H44" i="1"/>
  <c r="L45" i="1"/>
  <c r="N45" i="1"/>
  <c r="O45" i="1" s="1"/>
  <c r="M46" i="1"/>
  <c r="D47" i="1"/>
  <c r="E46" i="1"/>
  <c r="C46" i="1" l="1"/>
  <c r="F46" i="1"/>
  <c r="H45" i="1"/>
  <c r="L46" i="1"/>
  <c r="N46" i="1"/>
  <c r="O46" i="1" s="1"/>
  <c r="M47" i="1"/>
  <c r="D48" i="1"/>
  <c r="E47" i="1"/>
  <c r="F47" i="1" l="1"/>
  <c r="C47" i="1"/>
  <c r="L47" i="1"/>
  <c r="N47" i="1"/>
  <c r="O47" i="1" s="1"/>
  <c r="H46" i="1"/>
  <c r="M48" i="1"/>
  <c r="D49" i="1"/>
  <c r="E48" i="1"/>
  <c r="C48" i="1" l="1"/>
  <c r="F48" i="1"/>
  <c r="L48" i="1"/>
  <c r="N48" i="1"/>
  <c r="O48" i="1" s="1"/>
  <c r="H47" i="1"/>
  <c r="M49" i="1"/>
  <c r="E49" i="1"/>
  <c r="D50" i="1"/>
  <c r="F49" i="1" l="1"/>
  <c r="C49" i="1"/>
  <c r="L49" i="1"/>
  <c r="N49" i="1"/>
  <c r="O49" i="1" s="1"/>
  <c r="H48" i="1"/>
  <c r="M50" i="1"/>
  <c r="D51" i="1"/>
  <c r="E50" i="1"/>
  <c r="C50" i="1" l="1"/>
  <c r="F50" i="1"/>
  <c r="L50" i="1"/>
  <c r="N50" i="1"/>
  <c r="O50" i="1" s="1"/>
  <c r="H49" i="1"/>
  <c r="M51" i="1"/>
  <c r="D52" i="1"/>
  <c r="E51" i="1"/>
  <c r="F51" i="1" l="1"/>
  <c r="C51" i="1"/>
  <c r="L51" i="1"/>
  <c r="N51" i="1"/>
  <c r="O51" i="1" s="1"/>
  <c r="H50" i="1"/>
  <c r="M52" i="1"/>
  <c r="D53" i="1"/>
  <c r="E52" i="1"/>
  <c r="C52" i="1" l="1"/>
  <c r="F52" i="1"/>
  <c r="L52" i="1"/>
  <c r="N52" i="1"/>
  <c r="O52" i="1" s="1"/>
  <c r="H51" i="1"/>
  <c r="M53" i="1"/>
  <c r="D54" i="1"/>
  <c r="E53" i="1"/>
  <c r="L53" i="1" l="1"/>
  <c r="N53" i="1"/>
  <c r="O53" i="1" s="1"/>
  <c r="C53" i="1" s="1"/>
  <c r="F53" i="1" s="1"/>
  <c r="H52" i="1"/>
  <c r="M54" i="1"/>
  <c r="D55" i="1"/>
  <c r="E54" i="1"/>
  <c r="C54" i="1" l="1"/>
  <c r="F54" i="1"/>
  <c r="L54" i="1"/>
  <c r="N54" i="1"/>
  <c r="O54" i="1" s="1"/>
  <c r="H53" i="1"/>
  <c r="M55" i="1"/>
  <c r="D56" i="1"/>
  <c r="E55" i="1"/>
  <c r="F55" i="1" l="1"/>
  <c r="C55" i="1"/>
  <c r="L55" i="1"/>
  <c r="N55" i="1"/>
  <c r="O55" i="1" s="1"/>
  <c r="H54" i="1"/>
  <c r="M56" i="1"/>
  <c r="E56" i="1"/>
  <c r="D57" i="1"/>
  <c r="C56" i="1" l="1"/>
  <c r="F56" i="1"/>
  <c r="H55" i="1"/>
  <c r="L56" i="1"/>
  <c r="N56" i="1"/>
  <c r="O56" i="1" s="1"/>
  <c r="M57" i="1"/>
  <c r="E57" i="1"/>
  <c r="D58" i="1"/>
  <c r="F57" i="1" l="1"/>
  <c r="C57" i="1"/>
  <c r="L57" i="1"/>
  <c r="N57" i="1"/>
  <c r="O57" i="1" s="1"/>
  <c r="H56" i="1"/>
  <c r="M58" i="1"/>
  <c r="E58" i="1"/>
  <c r="D59" i="1"/>
  <c r="C58" i="1" l="1"/>
  <c r="F58" i="1"/>
  <c r="L58" i="1"/>
  <c r="N58" i="1"/>
  <c r="O58" i="1" s="1"/>
  <c r="H57" i="1"/>
  <c r="M59" i="1"/>
  <c r="E59" i="1"/>
  <c r="D60" i="1"/>
  <c r="F59" i="1" l="1"/>
  <c r="C59" i="1"/>
  <c r="L59" i="1"/>
  <c r="N59" i="1"/>
  <c r="O59" i="1" s="1"/>
  <c r="H58" i="1"/>
  <c r="M60" i="1"/>
  <c r="D61" i="1"/>
  <c r="E60" i="1"/>
  <c r="C60" i="1" l="1"/>
  <c r="F60" i="1"/>
  <c r="L60" i="1"/>
  <c r="N60" i="1"/>
  <c r="O60" i="1" s="1"/>
  <c r="H59" i="1"/>
  <c r="M61" i="1"/>
  <c r="E61" i="1"/>
  <c r="D62" i="1"/>
  <c r="L61" i="1" l="1"/>
  <c r="N61" i="1"/>
  <c r="O61" i="1" s="1"/>
  <c r="C61" i="1" s="1"/>
  <c r="F61" i="1" s="1"/>
  <c r="H60" i="1"/>
  <c r="M62" i="1"/>
  <c r="D63" i="1"/>
  <c r="E62" i="1"/>
  <c r="C62" i="1" l="1"/>
  <c r="F62" i="1"/>
  <c r="L62" i="1"/>
  <c r="N62" i="1"/>
  <c r="O62" i="1" s="1"/>
  <c r="H61" i="1"/>
  <c r="M63" i="1"/>
  <c r="E63" i="1"/>
  <c r="D64" i="1"/>
  <c r="F63" i="1" l="1"/>
  <c r="C63" i="1"/>
  <c r="H62" i="1"/>
  <c r="L63" i="1"/>
  <c r="N63" i="1"/>
  <c r="O63" i="1" s="1"/>
  <c r="M64" i="1"/>
  <c r="D65" i="1"/>
  <c r="E64" i="1"/>
  <c r="C64" i="1" l="1"/>
  <c r="F64" i="1"/>
  <c r="L64" i="1"/>
  <c r="N64" i="1"/>
  <c r="O64" i="1" s="1"/>
  <c r="H63" i="1"/>
  <c r="M65" i="1"/>
  <c r="D66" i="1"/>
  <c r="E65" i="1"/>
  <c r="F65" i="1" l="1"/>
  <c r="C65" i="1"/>
  <c r="L65" i="1"/>
  <c r="N65" i="1"/>
  <c r="O65" i="1" s="1"/>
  <c r="H64" i="1"/>
  <c r="M66" i="1"/>
  <c r="E66" i="1"/>
  <c r="D67" i="1"/>
  <c r="L66" i="1" l="1"/>
  <c r="N66" i="1"/>
  <c r="O66" i="1" s="1"/>
  <c r="C66" i="1" s="1"/>
  <c r="F66" i="1" s="1"/>
  <c r="H65" i="1"/>
  <c r="M67" i="1"/>
  <c r="D68" i="1"/>
  <c r="E67" i="1"/>
  <c r="F67" i="1" l="1"/>
  <c r="C67" i="1"/>
  <c r="L67" i="1"/>
  <c r="N67" i="1"/>
  <c r="O67" i="1" s="1"/>
  <c r="H66" i="1"/>
  <c r="M68" i="1"/>
  <c r="D69" i="1"/>
  <c r="E68" i="1"/>
  <c r="F68" i="1" l="1"/>
  <c r="C68" i="1"/>
  <c r="L68" i="1"/>
  <c r="N68" i="1"/>
  <c r="O68" i="1" s="1"/>
  <c r="H67" i="1"/>
  <c r="M69" i="1"/>
  <c r="E69" i="1"/>
  <c r="E70" i="1" l="1"/>
  <c r="M70" i="1"/>
  <c r="L69" i="1"/>
  <c r="N69" i="1"/>
  <c r="C69" i="1" s="1"/>
  <c r="H68" i="1"/>
  <c r="C70" i="1" l="1"/>
  <c r="F69" i="1"/>
  <c r="F70" i="1" s="1"/>
  <c r="H69" i="1"/>
  <c r="L70" i="1"/>
  <c r="N70" i="1"/>
  <c r="O70" i="1" s="1"/>
  <c r="E71" i="1"/>
  <c r="M71" i="1"/>
  <c r="F71" i="1" l="1"/>
  <c r="C71" i="1"/>
  <c r="L71" i="1"/>
  <c r="N71" i="1"/>
  <c r="O71" i="1" s="1"/>
  <c r="E72" i="1"/>
  <c r="M72" i="1"/>
  <c r="H70" i="1"/>
  <c r="H71" i="1" l="1"/>
  <c r="L72" i="1"/>
  <c r="N72" i="1"/>
  <c r="O72" i="1" s="1"/>
  <c r="C72" i="1" s="1"/>
  <c r="F72" i="1" s="1"/>
  <c r="M73" i="1"/>
  <c r="E73" i="1"/>
  <c r="L73" i="1" l="1"/>
  <c r="N73" i="1"/>
  <c r="O73" i="1" s="1"/>
  <c r="C73" i="1" s="1"/>
  <c r="F73" i="1" s="1"/>
  <c r="H72" i="1"/>
  <c r="E74" i="1"/>
  <c r="M74" i="1"/>
  <c r="C74" i="1" l="1"/>
  <c r="F74" i="1"/>
  <c r="L74" i="1"/>
  <c r="N74" i="1"/>
  <c r="O74" i="1" s="1"/>
  <c r="H73" i="1"/>
  <c r="E75" i="1"/>
  <c r="M75" i="1"/>
  <c r="L75" i="1" l="1"/>
  <c r="N75" i="1"/>
  <c r="O75" i="1" s="1"/>
  <c r="C75" i="1" s="1"/>
  <c r="F75" i="1" s="1"/>
  <c r="H74" i="1"/>
  <c r="E76" i="1"/>
  <c r="M76" i="1"/>
  <c r="C76" i="1" l="1"/>
  <c r="F76" i="1"/>
  <c r="L76" i="1"/>
  <c r="N76" i="1"/>
  <c r="O76" i="1" s="1"/>
  <c r="H75" i="1"/>
  <c r="E77" i="1"/>
  <c r="M77" i="1"/>
  <c r="C77" i="1" l="1"/>
  <c r="F77" i="1"/>
  <c r="L77" i="1"/>
  <c r="N77" i="1"/>
  <c r="O77" i="1" s="1"/>
  <c r="H76" i="1"/>
  <c r="M78" i="1"/>
  <c r="E78" i="1"/>
  <c r="L78" i="1" l="1"/>
  <c r="N78" i="1"/>
  <c r="O78" i="1" s="1"/>
  <c r="C78" i="1" s="1"/>
  <c r="F78" i="1" s="1"/>
  <c r="H77" i="1"/>
  <c r="E79" i="1"/>
  <c r="M79" i="1"/>
  <c r="C79" i="1" l="1"/>
  <c r="F79" i="1"/>
  <c r="E80" i="1"/>
  <c r="M80" i="1"/>
  <c r="H78" i="1"/>
  <c r="L79" i="1"/>
  <c r="N79" i="1"/>
  <c r="O79" i="1" s="1"/>
  <c r="F80" i="1" l="1"/>
  <c r="C80" i="1"/>
  <c r="H79" i="1"/>
  <c r="L80" i="1"/>
  <c r="N80" i="1"/>
  <c r="O80" i="1" s="1"/>
  <c r="M81" i="1"/>
  <c r="E81" i="1"/>
  <c r="L81" i="1" l="1"/>
  <c r="N81" i="1"/>
  <c r="O81" i="1" s="1"/>
  <c r="C81" i="1" s="1"/>
  <c r="F81" i="1" s="1"/>
  <c r="H80" i="1"/>
  <c r="E82" i="1"/>
  <c r="M82" i="1"/>
  <c r="F82" i="1" l="1"/>
  <c r="C82" i="1"/>
  <c r="H81" i="1"/>
  <c r="L82" i="1"/>
  <c r="N82" i="1"/>
  <c r="O82" i="1" s="1"/>
  <c r="E83" i="1"/>
  <c r="M83" i="1"/>
  <c r="C83" i="1" l="1"/>
  <c r="F83" i="1"/>
  <c r="L83" i="1"/>
  <c r="N83" i="1"/>
  <c r="O83" i="1" s="1"/>
  <c r="M84" i="1"/>
  <c r="E84" i="1"/>
  <c r="H82" i="1"/>
  <c r="F84" i="1" l="1"/>
  <c r="C84" i="1"/>
  <c r="L84" i="1"/>
  <c r="N84" i="1"/>
  <c r="O84" i="1" s="1"/>
  <c r="H83" i="1"/>
  <c r="E85" i="1"/>
  <c r="M85" i="1"/>
  <c r="C85" i="1" l="1"/>
  <c r="F85" i="1"/>
  <c r="E86" i="1"/>
  <c r="M86" i="1"/>
  <c r="H84" i="1"/>
  <c r="L85" i="1"/>
  <c r="N85" i="1"/>
  <c r="O85" i="1" s="1"/>
  <c r="F86" i="1" l="1"/>
  <c r="C86" i="1"/>
  <c r="H85" i="1"/>
  <c r="L86" i="1"/>
  <c r="N86" i="1"/>
  <c r="O86" i="1" s="1"/>
  <c r="E87" i="1"/>
  <c r="M87" i="1"/>
  <c r="C87" i="1" l="1"/>
  <c r="F87" i="1"/>
  <c r="L87" i="1"/>
  <c r="N87" i="1"/>
  <c r="O87" i="1" s="1"/>
  <c r="H86" i="1"/>
  <c r="E88" i="1"/>
  <c r="M88" i="1"/>
  <c r="F88" i="1" l="1"/>
  <c r="C88" i="1"/>
  <c r="L88" i="1"/>
  <c r="N88" i="1"/>
  <c r="O88" i="1" s="1"/>
  <c r="H87" i="1"/>
  <c r="M89" i="1"/>
  <c r="E89" i="1"/>
  <c r="F89" i="1" l="1"/>
  <c r="C89" i="1"/>
  <c r="L89" i="1"/>
  <c r="N89" i="1"/>
  <c r="O89" i="1" s="1"/>
  <c r="H88" i="1"/>
  <c r="E90" i="1"/>
  <c r="M90" i="1"/>
  <c r="F90" i="1" l="1"/>
  <c r="C90" i="1"/>
  <c r="L90" i="1"/>
  <c r="N90" i="1"/>
  <c r="O90" i="1" s="1"/>
  <c r="H89" i="1"/>
  <c r="E91" i="1"/>
  <c r="M91" i="1"/>
  <c r="C91" i="1" l="1"/>
  <c r="F91" i="1"/>
  <c r="L91" i="1"/>
  <c r="N91" i="1"/>
  <c r="O91" i="1" s="1"/>
  <c r="H90" i="1"/>
  <c r="M92" i="1"/>
  <c r="E92" i="1"/>
  <c r="F92" i="1" l="1"/>
  <c r="C92" i="1"/>
  <c r="L92" i="1"/>
  <c r="N92" i="1"/>
  <c r="O92" i="1" s="1"/>
  <c r="H91" i="1"/>
  <c r="E93" i="1"/>
  <c r="M93" i="1"/>
  <c r="C93" i="1" l="1"/>
  <c r="F93" i="1"/>
  <c r="L93" i="1"/>
  <c r="N93" i="1"/>
  <c r="O93" i="1" s="1"/>
  <c r="H92" i="1"/>
  <c r="M94" i="1"/>
  <c r="E94" i="1"/>
  <c r="F94" i="1" l="1"/>
  <c r="C94" i="1"/>
  <c r="L94" i="1"/>
  <c r="N94" i="1"/>
  <c r="O94" i="1" s="1"/>
  <c r="H93" i="1"/>
  <c r="E95" i="1"/>
  <c r="M95" i="1"/>
  <c r="C95" i="1" l="1"/>
  <c r="F95" i="1"/>
  <c r="L95" i="1"/>
  <c r="N95" i="1"/>
  <c r="O95" i="1" s="1"/>
  <c r="H94" i="1"/>
  <c r="E96" i="1"/>
  <c r="M96" i="1"/>
  <c r="F96" i="1" l="1"/>
  <c r="C96" i="1"/>
  <c r="L96" i="1"/>
  <c r="N96" i="1"/>
  <c r="O96" i="1" s="1"/>
  <c r="H95" i="1"/>
  <c r="M97" i="1"/>
  <c r="E97" i="1"/>
  <c r="C97" i="1" l="1"/>
  <c r="F97" i="1"/>
  <c r="H96" i="1"/>
  <c r="L97" i="1"/>
  <c r="N97" i="1"/>
  <c r="O97" i="1" s="1"/>
  <c r="E98" i="1"/>
  <c r="M98" i="1"/>
  <c r="F98" i="1" l="1"/>
  <c r="C98" i="1"/>
  <c r="L98" i="1"/>
  <c r="N98" i="1"/>
  <c r="O98" i="1" s="1"/>
  <c r="E99" i="1"/>
  <c r="M99" i="1"/>
  <c r="H97" i="1"/>
  <c r="C99" i="1" l="1"/>
  <c r="F99" i="1"/>
  <c r="M100" i="1"/>
  <c r="E100" i="1"/>
  <c r="H98" i="1"/>
  <c r="L99" i="1"/>
  <c r="N99" i="1"/>
  <c r="O99" i="1" s="1"/>
  <c r="F100" i="1" l="1"/>
  <c r="C100" i="1"/>
  <c r="E101" i="1"/>
  <c r="M101" i="1"/>
  <c r="H99" i="1"/>
  <c r="L100" i="1"/>
  <c r="N100" i="1"/>
  <c r="O100" i="1" s="1"/>
  <c r="C101" i="1" l="1"/>
  <c r="F101" i="1"/>
  <c r="H100" i="1"/>
  <c r="L101" i="1"/>
  <c r="N101" i="1"/>
  <c r="O101" i="1" s="1"/>
  <c r="E102" i="1"/>
  <c r="M102" i="1"/>
  <c r="F102" i="1" l="1"/>
  <c r="C102" i="1"/>
  <c r="L102" i="1"/>
  <c r="N102" i="1"/>
  <c r="O102" i="1" s="1"/>
  <c r="E103" i="1"/>
  <c r="M103" i="1"/>
  <c r="H101" i="1"/>
  <c r="C103" i="1" l="1"/>
  <c r="F103" i="1"/>
  <c r="H102" i="1"/>
  <c r="L103" i="1"/>
  <c r="N103" i="1"/>
  <c r="O103" i="1" s="1"/>
  <c r="E104" i="1"/>
  <c r="M104" i="1"/>
  <c r="F104" i="1" l="1"/>
  <c r="C104" i="1"/>
  <c r="L104" i="1"/>
  <c r="N104" i="1"/>
  <c r="O104" i="1" s="1"/>
  <c r="H103" i="1"/>
  <c r="M105" i="1"/>
  <c r="E105" i="1"/>
  <c r="C105" i="1" l="1"/>
  <c r="F105" i="1"/>
  <c r="L105" i="1"/>
  <c r="N105" i="1"/>
  <c r="O105" i="1" s="1"/>
  <c r="H104" i="1"/>
  <c r="E106" i="1"/>
  <c r="M106" i="1"/>
  <c r="F106" i="1" l="1"/>
  <c r="C106" i="1"/>
  <c r="E107" i="1"/>
  <c r="M107" i="1"/>
  <c r="L106" i="1"/>
  <c r="N106" i="1"/>
  <c r="O106" i="1" s="1"/>
  <c r="H105" i="1"/>
  <c r="C107" i="1" l="1"/>
  <c r="F107" i="1"/>
  <c r="H106" i="1"/>
  <c r="L107" i="1"/>
  <c r="N107" i="1"/>
  <c r="O107" i="1" s="1"/>
  <c r="M108" i="1"/>
  <c r="E108" i="1"/>
  <c r="F108" i="1" l="1"/>
  <c r="C108" i="1"/>
  <c r="L108" i="1"/>
  <c r="N108" i="1"/>
  <c r="O108" i="1" s="1"/>
  <c r="H107" i="1"/>
  <c r="E109" i="1"/>
  <c r="M109" i="1"/>
  <c r="C109" i="1" l="1"/>
  <c r="F109" i="1"/>
  <c r="L109" i="1"/>
  <c r="N109" i="1"/>
  <c r="O109" i="1" s="1"/>
  <c r="H108" i="1"/>
  <c r="M110" i="1"/>
  <c r="E110" i="1"/>
  <c r="F110" i="1" l="1"/>
  <c r="C110" i="1"/>
  <c r="L110" i="1"/>
  <c r="N110" i="1"/>
  <c r="O110" i="1" s="1"/>
  <c r="H109" i="1"/>
  <c r="E111" i="1"/>
  <c r="M111" i="1"/>
  <c r="C111" i="1" l="1"/>
  <c r="F111" i="1"/>
  <c r="H110" i="1"/>
  <c r="L111" i="1"/>
  <c r="N111" i="1"/>
  <c r="O111" i="1" s="1"/>
  <c r="E112" i="1"/>
  <c r="M112" i="1"/>
  <c r="F112" i="1" l="1"/>
  <c r="C112" i="1"/>
  <c r="L112" i="1"/>
  <c r="N112" i="1"/>
  <c r="O112" i="1" s="1"/>
  <c r="M113" i="1"/>
  <c r="E113" i="1"/>
  <c r="H111" i="1"/>
  <c r="F113" i="1" l="1"/>
  <c r="C113" i="1"/>
  <c r="H112" i="1"/>
  <c r="L113" i="1"/>
  <c r="N113" i="1"/>
  <c r="O113" i="1" s="1"/>
  <c r="E114" i="1"/>
  <c r="M114" i="1"/>
  <c r="C114" i="1" l="1"/>
  <c r="F114" i="1"/>
  <c r="L114" i="1"/>
  <c r="N114" i="1"/>
  <c r="O114" i="1" s="1"/>
  <c r="E115" i="1"/>
  <c r="M115" i="1"/>
  <c r="H113" i="1"/>
  <c r="F115" i="1" l="1"/>
  <c r="C115" i="1"/>
  <c r="H114" i="1"/>
  <c r="L115" i="1"/>
  <c r="N115" i="1"/>
  <c r="O115" i="1" s="1"/>
  <c r="M116" i="1"/>
  <c r="E116" i="1"/>
  <c r="C116" i="1" l="1"/>
  <c r="F116" i="1"/>
  <c r="L116" i="1"/>
  <c r="N116" i="1"/>
  <c r="O116" i="1" s="1"/>
  <c r="E117" i="1"/>
  <c r="M117" i="1"/>
  <c r="H115" i="1"/>
  <c r="F117" i="1" l="1"/>
  <c r="C117" i="1"/>
  <c r="H116" i="1"/>
  <c r="L117" i="1"/>
  <c r="N117" i="1"/>
  <c r="O117" i="1" s="1"/>
  <c r="M118" i="1"/>
  <c r="E118" i="1"/>
  <c r="C118" i="1" l="1"/>
  <c r="F118" i="1"/>
  <c r="L118" i="1"/>
  <c r="N118" i="1"/>
  <c r="O118" i="1" s="1"/>
  <c r="H117" i="1"/>
  <c r="E119" i="1"/>
  <c r="M119" i="1"/>
  <c r="C119" i="1" l="1"/>
  <c r="F119" i="1"/>
  <c r="L119" i="1"/>
  <c r="N119" i="1"/>
  <c r="O119" i="1" s="1"/>
  <c r="H118" i="1"/>
  <c r="E120" i="1"/>
  <c r="M120" i="1"/>
  <c r="F120" i="1" l="1"/>
  <c r="C120" i="1"/>
  <c r="L120" i="1"/>
  <c r="N120" i="1"/>
  <c r="O120" i="1" s="1"/>
  <c r="H119" i="1"/>
  <c r="M121" i="1"/>
  <c r="E121" i="1"/>
  <c r="C121" i="1" l="1"/>
  <c r="F121" i="1"/>
  <c r="L121" i="1"/>
  <c r="N121" i="1"/>
  <c r="O121" i="1" s="1"/>
  <c r="H120" i="1"/>
  <c r="E122" i="1"/>
  <c r="M122" i="1"/>
  <c r="F122" i="1" l="1"/>
  <c r="C122" i="1"/>
  <c r="H121" i="1"/>
  <c r="L122" i="1"/>
  <c r="N122" i="1"/>
  <c r="O122" i="1" s="1"/>
  <c r="E123" i="1"/>
  <c r="M123" i="1"/>
  <c r="C123" i="1" l="1"/>
  <c r="F123" i="1"/>
  <c r="L123" i="1"/>
  <c r="N123" i="1"/>
  <c r="O123" i="1" s="1"/>
  <c r="M124" i="1"/>
  <c r="E124" i="1"/>
  <c r="H122" i="1"/>
  <c r="F124" i="1" l="1"/>
  <c r="C124" i="1"/>
  <c r="L124" i="1"/>
  <c r="N124" i="1"/>
  <c r="O124" i="1" s="1"/>
  <c r="H123" i="1"/>
  <c r="E125" i="1"/>
  <c r="M125" i="1"/>
  <c r="C125" i="1" l="1"/>
  <c r="F125" i="1"/>
  <c r="L125" i="1"/>
  <c r="N125" i="1"/>
  <c r="O125" i="1" s="1"/>
  <c r="H124" i="1"/>
  <c r="E126" i="1"/>
  <c r="M126" i="1"/>
  <c r="F126" i="1" l="1"/>
  <c r="C126" i="1"/>
  <c r="H125" i="1"/>
  <c r="L126" i="1"/>
  <c r="N126" i="1"/>
  <c r="O126" i="1" s="1"/>
  <c r="E127" i="1"/>
  <c r="M127" i="1"/>
  <c r="C127" i="1" l="1"/>
  <c r="F127" i="1"/>
  <c r="L127" i="1"/>
  <c r="N127" i="1"/>
  <c r="O127" i="1" s="1"/>
  <c r="H126" i="1"/>
  <c r="E128" i="1"/>
  <c r="M128" i="1"/>
  <c r="F128" i="1" l="1"/>
  <c r="C128" i="1"/>
  <c r="L128" i="1"/>
  <c r="N128" i="1"/>
  <c r="O128" i="1" s="1"/>
  <c r="H127" i="1"/>
  <c r="M129" i="1"/>
  <c r="E129" i="1"/>
  <c r="C129" i="1" l="1"/>
  <c r="F129" i="1"/>
  <c r="L129" i="1"/>
  <c r="N129" i="1"/>
  <c r="O129" i="1" s="1"/>
  <c r="H128" i="1"/>
  <c r="E130" i="1"/>
  <c r="M130" i="1"/>
  <c r="F130" i="1" l="1"/>
  <c r="C130" i="1"/>
  <c r="L130" i="1"/>
  <c r="N130" i="1"/>
  <c r="O130" i="1" s="1"/>
  <c r="H129" i="1"/>
  <c r="E131" i="1"/>
  <c r="M131" i="1"/>
  <c r="C131" i="1" l="1"/>
  <c r="F131" i="1"/>
  <c r="L131" i="1"/>
  <c r="N131" i="1"/>
  <c r="O131" i="1" s="1"/>
  <c r="H130" i="1"/>
  <c r="M132" i="1"/>
  <c r="E132" i="1"/>
  <c r="F132" i="1" l="1"/>
  <c r="C132" i="1"/>
  <c r="L132" i="1"/>
  <c r="N132" i="1"/>
  <c r="O132" i="1" s="1"/>
  <c r="H131" i="1"/>
  <c r="E133" i="1"/>
  <c r="M133" i="1"/>
  <c r="C133" i="1" l="1"/>
  <c r="F133" i="1"/>
  <c r="L133" i="1"/>
  <c r="N133" i="1"/>
  <c r="O133" i="1" s="1"/>
  <c r="H132" i="1"/>
  <c r="M134" i="1"/>
  <c r="E134" i="1"/>
  <c r="F134" i="1" l="1"/>
  <c r="C134" i="1"/>
  <c r="L134" i="1"/>
  <c r="N134" i="1"/>
  <c r="O134" i="1" s="1"/>
  <c r="H133" i="1"/>
  <c r="E135" i="1"/>
  <c r="M135" i="1"/>
  <c r="C135" i="1" l="1"/>
  <c r="F135" i="1"/>
  <c r="L135" i="1"/>
  <c r="N135" i="1"/>
  <c r="O135" i="1" s="1"/>
  <c r="H134" i="1"/>
  <c r="E136" i="1"/>
  <c r="M136" i="1"/>
  <c r="F136" i="1" l="1"/>
  <c r="C136" i="1"/>
  <c r="H135" i="1"/>
  <c r="L136" i="1"/>
  <c r="N136" i="1"/>
  <c r="O136" i="1" s="1"/>
  <c r="M137" i="1"/>
  <c r="E137" i="1"/>
  <c r="C137" i="1" l="1"/>
  <c r="F137" i="1"/>
  <c r="L137" i="1"/>
  <c r="N137" i="1"/>
  <c r="O137" i="1" s="1"/>
  <c r="H136" i="1"/>
  <c r="E138" i="1"/>
  <c r="M138" i="1"/>
  <c r="F138" i="1" l="1"/>
  <c r="C138" i="1"/>
  <c r="L138" i="1"/>
  <c r="N138" i="1"/>
  <c r="O138" i="1" s="1"/>
  <c r="H137" i="1"/>
  <c r="E139" i="1"/>
  <c r="M139" i="1"/>
  <c r="F139" i="1" l="1"/>
  <c r="C139" i="1"/>
  <c r="M140" i="1"/>
  <c r="E140" i="1"/>
  <c r="L139" i="1"/>
  <c r="N139" i="1"/>
  <c r="O139" i="1" s="1"/>
  <c r="H138" i="1"/>
  <c r="C140" i="1" l="1"/>
  <c r="F140" i="1"/>
  <c r="H139" i="1"/>
  <c r="E141" i="1"/>
  <c r="M141" i="1"/>
  <c r="L140" i="1"/>
  <c r="N140" i="1"/>
  <c r="O140" i="1" s="1"/>
  <c r="F141" i="1" l="1"/>
  <c r="C141" i="1"/>
  <c r="H140" i="1"/>
  <c r="L141" i="1"/>
  <c r="N141" i="1"/>
  <c r="O141" i="1" s="1"/>
  <c r="M142" i="1"/>
  <c r="E142" i="1"/>
  <c r="C142" i="1" l="1"/>
  <c r="F142" i="1"/>
  <c r="L142" i="1"/>
  <c r="N142" i="1"/>
  <c r="O142" i="1" s="1"/>
  <c r="E143" i="1"/>
  <c r="M143" i="1"/>
  <c r="H141" i="1"/>
  <c r="F143" i="1" l="1"/>
  <c r="C143" i="1"/>
  <c r="H142" i="1"/>
  <c r="L143" i="1"/>
  <c r="N143" i="1"/>
  <c r="O143" i="1" s="1"/>
  <c r="E144" i="1"/>
  <c r="M144" i="1"/>
  <c r="C144" i="1" l="1"/>
  <c r="F144" i="1"/>
  <c r="M145" i="1"/>
  <c r="E145" i="1"/>
  <c r="L144" i="1"/>
  <c r="N144" i="1"/>
  <c r="O144" i="1" s="1"/>
  <c r="H143" i="1"/>
  <c r="F145" i="1" l="1"/>
  <c r="C145" i="1"/>
  <c r="H144" i="1"/>
  <c r="E146" i="1"/>
  <c r="M146" i="1"/>
  <c r="L145" i="1"/>
  <c r="N145" i="1"/>
  <c r="O145" i="1" s="1"/>
  <c r="C146" i="1" l="1"/>
  <c r="F146" i="1"/>
  <c r="L146" i="1"/>
  <c r="N146" i="1"/>
  <c r="O146" i="1" s="1"/>
  <c r="E147" i="1"/>
  <c r="M147" i="1"/>
  <c r="H145" i="1"/>
  <c r="F147" i="1" l="1"/>
  <c r="C147" i="1"/>
  <c r="H146" i="1"/>
  <c r="L147" i="1"/>
  <c r="N147" i="1"/>
  <c r="O147" i="1" s="1"/>
  <c r="M148" i="1"/>
  <c r="E148" i="1"/>
  <c r="C148" i="1" l="1"/>
  <c r="F148" i="1"/>
  <c r="L148" i="1"/>
  <c r="N148" i="1"/>
  <c r="O148" i="1" s="1"/>
  <c r="H147" i="1"/>
  <c r="E149" i="1"/>
  <c r="M149" i="1"/>
  <c r="F149" i="1" l="1"/>
  <c r="C149" i="1"/>
  <c r="L149" i="1"/>
  <c r="N149" i="1"/>
  <c r="O149" i="1" s="1"/>
  <c r="H148" i="1"/>
  <c r="E150" i="1"/>
  <c r="M150" i="1"/>
  <c r="C150" i="1" l="1"/>
  <c r="F150" i="1"/>
  <c r="H149" i="1"/>
  <c r="L150" i="1"/>
  <c r="N150" i="1"/>
  <c r="O150" i="1" s="1"/>
  <c r="E151" i="1"/>
  <c r="M151" i="1"/>
  <c r="F151" i="1" l="1"/>
  <c r="C151" i="1"/>
  <c r="L151" i="1"/>
  <c r="N151" i="1"/>
  <c r="O151" i="1" s="1"/>
  <c r="H150" i="1"/>
  <c r="E152" i="1"/>
  <c r="M152" i="1"/>
  <c r="C152" i="1" l="1"/>
  <c r="F152" i="1"/>
  <c r="L152" i="1"/>
  <c r="N152" i="1"/>
  <c r="O152" i="1" s="1"/>
  <c r="H151" i="1"/>
  <c r="M153" i="1"/>
  <c r="E153" i="1"/>
  <c r="F153" i="1" l="1"/>
  <c r="C153" i="1"/>
  <c r="L153" i="1"/>
  <c r="N153" i="1"/>
  <c r="O153" i="1" s="1"/>
  <c r="H152" i="1"/>
  <c r="E154" i="1"/>
  <c r="M154" i="1"/>
  <c r="C154" i="1" l="1"/>
  <c r="F154" i="1"/>
  <c r="M155" i="1"/>
  <c r="E155" i="1"/>
  <c r="H153" i="1"/>
  <c r="L154" i="1"/>
  <c r="N154" i="1"/>
  <c r="O154" i="1" s="1"/>
  <c r="F155" i="1" l="1"/>
  <c r="C155" i="1"/>
  <c r="E156" i="1"/>
  <c r="M156" i="1"/>
  <c r="H154" i="1"/>
  <c r="N155" i="1"/>
  <c r="O155" i="1" s="1"/>
  <c r="L155" i="1"/>
  <c r="C156" i="1" l="1"/>
  <c r="F156" i="1"/>
  <c r="M157" i="1"/>
  <c r="E157" i="1"/>
  <c r="H155" i="1"/>
  <c r="L156" i="1"/>
  <c r="N156" i="1"/>
  <c r="O156" i="1" s="1"/>
  <c r="F157" i="1" l="1"/>
  <c r="C157" i="1"/>
  <c r="H156" i="1"/>
  <c r="E158" i="1"/>
  <c r="M158" i="1"/>
  <c r="L157" i="1"/>
  <c r="N157" i="1"/>
  <c r="O157" i="1" s="1"/>
  <c r="C158" i="1" l="1"/>
  <c r="F158" i="1"/>
  <c r="E159" i="1"/>
  <c r="M159" i="1"/>
  <c r="L158" i="1"/>
  <c r="N158" i="1"/>
  <c r="O158" i="1" s="1"/>
  <c r="H157" i="1"/>
  <c r="F159" i="1" l="1"/>
  <c r="C159" i="1"/>
  <c r="M160" i="1"/>
  <c r="E160" i="1"/>
  <c r="H158" i="1"/>
  <c r="L159" i="1"/>
  <c r="N159" i="1"/>
  <c r="O159" i="1" s="1"/>
  <c r="C160" i="1" l="1"/>
  <c r="F160" i="1"/>
  <c r="E161" i="1"/>
  <c r="M161" i="1"/>
  <c r="H159" i="1"/>
  <c r="L160" i="1"/>
  <c r="N160" i="1"/>
  <c r="O160" i="1" s="1"/>
  <c r="F161" i="1" l="1"/>
  <c r="C161" i="1"/>
  <c r="E162" i="1"/>
  <c r="M162" i="1"/>
  <c r="H160" i="1"/>
  <c r="L161" i="1"/>
  <c r="N161" i="1"/>
  <c r="O161" i="1" s="1"/>
  <c r="C162" i="1" l="1"/>
  <c r="F162" i="1"/>
  <c r="M163" i="1"/>
  <c r="E163" i="1"/>
  <c r="L162" i="1"/>
  <c r="N162" i="1"/>
  <c r="O162" i="1" s="1"/>
  <c r="H161" i="1"/>
  <c r="F163" i="1" l="1"/>
  <c r="C163" i="1"/>
  <c r="E164" i="1"/>
  <c r="M164" i="1"/>
  <c r="H162" i="1"/>
  <c r="L163" i="1"/>
  <c r="N163" i="1"/>
  <c r="O163" i="1" s="1"/>
  <c r="C164" i="1" l="1"/>
  <c r="F164" i="1"/>
  <c r="M165" i="1"/>
  <c r="E165" i="1"/>
  <c r="L164" i="1"/>
  <c r="N164" i="1"/>
  <c r="O164" i="1" s="1"/>
  <c r="H163" i="1"/>
  <c r="F165" i="1" l="1"/>
  <c r="C165" i="1"/>
  <c r="E166" i="1"/>
  <c r="M166" i="1"/>
  <c r="H164" i="1"/>
  <c r="L165" i="1"/>
  <c r="N165" i="1"/>
  <c r="O165" i="1" s="1"/>
  <c r="C166" i="1" l="1"/>
  <c r="F166" i="1"/>
  <c r="E167" i="1"/>
  <c r="M167" i="1"/>
  <c r="H165" i="1"/>
  <c r="L166" i="1"/>
  <c r="N166" i="1"/>
  <c r="O166" i="1" s="1"/>
  <c r="F167" i="1" l="1"/>
  <c r="C167" i="1"/>
  <c r="H166" i="1"/>
  <c r="M168" i="1"/>
  <c r="E168" i="1"/>
  <c r="L167" i="1"/>
  <c r="N167" i="1"/>
  <c r="O167" i="1" s="1"/>
  <c r="C168" i="1" l="1"/>
  <c r="F168" i="1"/>
  <c r="E169" i="1"/>
  <c r="M169" i="1"/>
  <c r="L168" i="1"/>
  <c r="N168" i="1"/>
  <c r="O168" i="1" s="1"/>
  <c r="H167" i="1"/>
  <c r="F169" i="1" l="1"/>
  <c r="C169" i="1"/>
  <c r="E170" i="1"/>
  <c r="M170" i="1"/>
  <c r="H168" i="1"/>
  <c r="L169" i="1"/>
  <c r="N169" i="1"/>
  <c r="O169" i="1" s="1"/>
  <c r="C170" i="1" l="1"/>
  <c r="F170" i="1"/>
  <c r="H169" i="1"/>
  <c r="M171" i="1"/>
  <c r="E171" i="1"/>
  <c r="L170" i="1"/>
  <c r="N170" i="1"/>
  <c r="O170" i="1" s="1"/>
  <c r="F171" i="1" l="1"/>
  <c r="C171" i="1"/>
  <c r="E172" i="1"/>
  <c r="M172" i="1"/>
  <c r="L171" i="1"/>
  <c r="N171" i="1"/>
  <c r="O171" i="1" s="1"/>
  <c r="H170" i="1"/>
  <c r="C172" i="1" l="1"/>
  <c r="F172" i="1"/>
  <c r="M173" i="1"/>
  <c r="E173" i="1"/>
  <c r="H171" i="1"/>
  <c r="L172" i="1"/>
  <c r="N172" i="1"/>
  <c r="O172" i="1" s="1"/>
  <c r="F173" i="1" l="1"/>
  <c r="C173" i="1"/>
  <c r="E174" i="1"/>
  <c r="M174" i="1"/>
  <c r="H172" i="1"/>
  <c r="L173" i="1"/>
  <c r="N173" i="1"/>
  <c r="O173" i="1" s="1"/>
  <c r="C174" i="1" l="1"/>
  <c r="F174" i="1"/>
  <c r="E175" i="1"/>
  <c r="M175" i="1"/>
  <c r="H173" i="1"/>
  <c r="L174" i="1"/>
  <c r="N174" i="1"/>
  <c r="O174" i="1" s="1"/>
  <c r="F175" i="1" l="1"/>
  <c r="C175" i="1"/>
  <c r="M176" i="1"/>
  <c r="E176" i="1"/>
  <c r="H174" i="1"/>
  <c r="L175" i="1"/>
  <c r="N175" i="1"/>
  <c r="O175" i="1" s="1"/>
  <c r="C176" i="1" l="1"/>
  <c r="F176" i="1"/>
  <c r="E177" i="1"/>
  <c r="M177" i="1"/>
  <c r="H175" i="1"/>
  <c r="L176" i="1"/>
  <c r="N176" i="1"/>
  <c r="O176" i="1" s="1"/>
  <c r="F177" i="1" l="1"/>
  <c r="C177" i="1"/>
  <c r="E178" i="1"/>
  <c r="M178" i="1"/>
  <c r="H176" i="1"/>
  <c r="L177" i="1"/>
  <c r="N177" i="1"/>
  <c r="O177" i="1" s="1"/>
  <c r="C178" i="1" l="1"/>
  <c r="F178" i="1"/>
  <c r="M179" i="1"/>
  <c r="E179" i="1"/>
  <c r="L178" i="1"/>
  <c r="N178" i="1"/>
  <c r="O178" i="1" s="1"/>
  <c r="H177" i="1"/>
  <c r="F179" i="1" l="1"/>
  <c r="C179" i="1"/>
  <c r="H178" i="1"/>
  <c r="E180" i="1"/>
  <c r="M180" i="1"/>
  <c r="L179" i="1"/>
  <c r="N179" i="1"/>
  <c r="O179" i="1" s="1"/>
  <c r="C180" i="1" l="1"/>
  <c r="F180" i="1"/>
  <c r="M181" i="1"/>
  <c r="E181" i="1"/>
  <c r="L180" i="1"/>
  <c r="N180" i="1"/>
  <c r="O180" i="1" s="1"/>
  <c r="H179" i="1"/>
  <c r="F181" i="1" l="1"/>
  <c r="C181" i="1"/>
  <c r="H180" i="1"/>
  <c r="E182" i="1"/>
  <c r="M182" i="1"/>
  <c r="L181" i="1"/>
  <c r="N181" i="1"/>
  <c r="O181" i="1" s="1"/>
  <c r="C182" i="1" l="1"/>
  <c r="F182" i="1"/>
  <c r="E183" i="1"/>
  <c r="M183" i="1"/>
  <c r="L182" i="1"/>
  <c r="N182" i="1"/>
  <c r="O182" i="1" s="1"/>
  <c r="H181" i="1"/>
  <c r="F183" i="1" l="1"/>
  <c r="C183" i="1"/>
  <c r="M184" i="1"/>
  <c r="E184" i="1"/>
  <c r="H182" i="1"/>
  <c r="L183" i="1"/>
  <c r="N183" i="1"/>
  <c r="O183" i="1" s="1"/>
  <c r="C184" i="1" l="1"/>
  <c r="F184" i="1"/>
  <c r="H183" i="1"/>
  <c r="E185" i="1"/>
  <c r="M185" i="1"/>
  <c r="L184" i="1"/>
  <c r="N184" i="1"/>
  <c r="O184" i="1" s="1"/>
  <c r="F185" i="1" l="1"/>
  <c r="C185" i="1"/>
  <c r="E186" i="1"/>
  <c r="M186" i="1"/>
  <c r="H184" i="1"/>
  <c r="L185" i="1"/>
  <c r="N185" i="1"/>
  <c r="O185" i="1" s="1"/>
  <c r="C186" i="1" l="1"/>
  <c r="F186" i="1"/>
  <c r="E187" i="1"/>
  <c r="M187" i="1"/>
  <c r="H185" i="1"/>
  <c r="L186" i="1"/>
  <c r="N186" i="1"/>
  <c r="O186" i="1" s="1"/>
  <c r="F187" i="1" l="1"/>
  <c r="C187" i="1"/>
  <c r="E188" i="1"/>
  <c r="M188" i="1"/>
  <c r="H186" i="1"/>
  <c r="L187" i="1"/>
  <c r="N187" i="1"/>
  <c r="O187" i="1" s="1"/>
  <c r="C188" i="1" l="1"/>
  <c r="F188" i="1"/>
  <c r="M189" i="1"/>
  <c r="E189" i="1"/>
  <c r="H187" i="1"/>
  <c r="L188" i="1"/>
  <c r="N188" i="1"/>
  <c r="O188" i="1" s="1"/>
  <c r="F189" i="1" l="1"/>
  <c r="C189" i="1"/>
  <c r="E190" i="1"/>
  <c r="M190" i="1"/>
  <c r="H188" i="1"/>
  <c r="L189" i="1"/>
  <c r="N189" i="1"/>
  <c r="O189" i="1" s="1"/>
  <c r="C190" i="1" l="1"/>
  <c r="F190" i="1"/>
  <c r="E191" i="1"/>
  <c r="M191" i="1"/>
  <c r="L190" i="1"/>
  <c r="N190" i="1"/>
  <c r="O190" i="1" s="1"/>
  <c r="H189" i="1"/>
  <c r="F191" i="1" l="1"/>
  <c r="C191" i="1"/>
  <c r="H190" i="1"/>
  <c r="E192" i="1"/>
  <c r="M192" i="1"/>
  <c r="L191" i="1"/>
  <c r="N191" i="1"/>
  <c r="O191" i="1" s="1"/>
  <c r="C192" i="1" l="1"/>
  <c r="F192" i="1"/>
  <c r="E193" i="1"/>
  <c r="M193" i="1"/>
  <c r="L192" i="1"/>
  <c r="N192" i="1"/>
  <c r="O192" i="1" s="1"/>
  <c r="H191" i="1"/>
  <c r="F193" i="1" l="1"/>
  <c r="C193" i="1"/>
  <c r="M194" i="1"/>
  <c r="E194" i="1"/>
  <c r="H192" i="1"/>
  <c r="L193" i="1"/>
  <c r="N193" i="1"/>
  <c r="O193" i="1" s="1"/>
  <c r="C194" i="1" l="1"/>
  <c r="F194" i="1"/>
  <c r="E195" i="1"/>
  <c r="M195" i="1"/>
  <c r="H193" i="1"/>
  <c r="L194" i="1"/>
  <c r="N194" i="1"/>
  <c r="O194" i="1" s="1"/>
  <c r="F195" i="1" l="1"/>
  <c r="C195" i="1"/>
  <c r="H194" i="1"/>
  <c r="E196" i="1"/>
  <c r="M196" i="1"/>
  <c r="L195" i="1"/>
  <c r="N195" i="1"/>
  <c r="O195" i="1" s="1"/>
  <c r="C196" i="1" l="1"/>
  <c r="F196" i="1"/>
  <c r="H195" i="1"/>
  <c r="E197" i="1"/>
  <c r="M197" i="1"/>
  <c r="L196" i="1"/>
  <c r="N196" i="1"/>
  <c r="O196" i="1" s="1"/>
  <c r="F197" i="1" l="1"/>
  <c r="C197" i="1"/>
  <c r="E198" i="1"/>
  <c r="M198" i="1"/>
  <c r="L197" i="1"/>
  <c r="N197" i="1"/>
  <c r="O197" i="1" s="1"/>
  <c r="H196" i="1"/>
  <c r="C198" i="1" l="1"/>
  <c r="F198" i="1"/>
  <c r="E199" i="1"/>
  <c r="M199" i="1"/>
  <c r="H197" i="1"/>
  <c r="L198" i="1"/>
  <c r="N198" i="1"/>
  <c r="O198" i="1" s="1"/>
  <c r="F199" i="1" l="1"/>
  <c r="C199" i="1"/>
  <c r="H198" i="1"/>
  <c r="E200" i="1"/>
  <c r="M200" i="1"/>
  <c r="L199" i="1"/>
  <c r="N199" i="1"/>
  <c r="O199" i="1" s="1"/>
  <c r="C200" i="1" l="1"/>
  <c r="F200" i="1"/>
  <c r="E201" i="1"/>
  <c r="M201" i="1"/>
  <c r="L200" i="1"/>
  <c r="N200" i="1"/>
  <c r="O200" i="1" s="1"/>
  <c r="H199" i="1"/>
  <c r="F201" i="1" l="1"/>
  <c r="C201" i="1"/>
  <c r="M202" i="1"/>
  <c r="E202" i="1"/>
  <c r="H200" i="1"/>
  <c r="L201" i="1"/>
  <c r="N201" i="1"/>
  <c r="O201" i="1" s="1"/>
  <c r="C202" i="1" l="1"/>
  <c r="F202" i="1"/>
  <c r="E203" i="1"/>
  <c r="M203" i="1"/>
  <c r="H201" i="1"/>
  <c r="L202" i="1"/>
  <c r="N202" i="1"/>
  <c r="O202" i="1" s="1"/>
  <c r="F203" i="1" l="1"/>
  <c r="C203" i="1"/>
  <c r="H203" i="1" s="1"/>
  <c r="H202" i="1"/>
  <c r="L203" i="1"/>
  <c r="N203" i="1"/>
  <c r="O203" i="1" s="1"/>
  <c r="I40" i="1"/>
  <c r="H40" i="1"/>
  <c r="I41" i="1" l="1"/>
  <c r="I42" i="1" l="1"/>
  <c r="I43" i="1" l="1"/>
  <c r="I44" i="1" l="1"/>
  <c r="I45" i="1" l="1"/>
  <c r="I46" i="1" l="1"/>
  <c r="I47" i="1" l="1"/>
  <c r="I48" i="1" l="1"/>
  <c r="I49" i="1" l="1"/>
  <c r="I50" i="1" l="1"/>
  <c r="I51" i="1" l="1"/>
  <c r="I52" i="1" l="1"/>
  <c r="I53" i="1" l="1"/>
  <c r="I54" i="1" l="1"/>
  <c r="I55" i="1" l="1"/>
  <c r="I56" i="1" l="1"/>
  <c r="I57" i="1" l="1"/>
  <c r="I58" i="1" l="1"/>
  <c r="I59" i="1" l="1"/>
  <c r="I60" i="1" l="1"/>
  <c r="I61" i="1" l="1"/>
  <c r="I62" i="1" l="1"/>
  <c r="I63" i="1" l="1"/>
  <c r="I64" i="1" l="1"/>
  <c r="I65" i="1" l="1"/>
  <c r="I66" i="1" l="1"/>
  <c r="I67" i="1" l="1"/>
  <c r="I68" i="1" l="1"/>
  <c r="I69" i="1" l="1"/>
  <c r="I70" i="1" l="1"/>
  <c r="J70" i="1" s="1"/>
  <c r="K69" i="1"/>
  <c r="I71" i="1" l="1"/>
  <c r="J71" i="1" s="1"/>
  <c r="K70" i="1"/>
  <c r="I72" i="1" l="1"/>
  <c r="J72" i="1" s="1"/>
  <c r="K71" i="1"/>
  <c r="I73" i="1" l="1"/>
  <c r="J73" i="1" s="1"/>
  <c r="K72" i="1"/>
  <c r="I74" i="1" l="1"/>
  <c r="J74" i="1" s="1"/>
  <c r="K73" i="1"/>
  <c r="I75" i="1" l="1"/>
  <c r="J75" i="1" s="1"/>
  <c r="K74" i="1"/>
  <c r="I76" i="1" l="1"/>
  <c r="J76" i="1" s="1"/>
  <c r="K75" i="1"/>
  <c r="I77" i="1" l="1"/>
  <c r="J77" i="1" s="1"/>
  <c r="K76" i="1"/>
  <c r="I78" i="1" l="1"/>
  <c r="J78" i="1" s="1"/>
  <c r="K77" i="1"/>
  <c r="I79" i="1" l="1"/>
  <c r="J79" i="1" s="1"/>
  <c r="K78" i="1"/>
  <c r="I80" i="1" l="1"/>
  <c r="J80" i="1" s="1"/>
  <c r="K79" i="1"/>
  <c r="I81" i="1" l="1"/>
  <c r="J81" i="1" s="1"/>
  <c r="K80" i="1"/>
  <c r="I82" i="1" l="1"/>
  <c r="J82" i="1" s="1"/>
  <c r="K81" i="1"/>
  <c r="I83" i="1" l="1"/>
  <c r="J83" i="1" s="1"/>
  <c r="K82" i="1"/>
  <c r="I84" i="1" l="1"/>
  <c r="J84" i="1" s="1"/>
  <c r="K83" i="1"/>
  <c r="I85" i="1" l="1"/>
  <c r="J85" i="1" s="1"/>
  <c r="K84" i="1"/>
  <c r="I86" i="1" l="1"/>
  <c r="J86" i="1" s="1"/>
  <c r="K85" i="1"/>
  <c r="I87" i="1" l="1"/>
  <c r="J87" i="1" s="1"/>
  <c r="K86" i="1"/>
  <c r="I88" i="1" l="1"/>
  <c r="J88" i="1" s="1"/>
  <c r="K87" i="1"/>
  <c r="I89" i="1" l="1"/>
  <c r="J89" i="1" s="1"/>
  <c r="K88" i="1"/>
  <c r="I90" i="1" l="1"/>
  <c r="J90" i="1" s="1"/>
  <c r="K89" i="1"/>
  <c r="I91" i="1" l="1"/>
  <c r="J91" i="1" s="1"/>
  <c r="K90" i="1"/>
  <c r="I92" i="1" l="1"/>
  <c r="J92" i="1" s="1"/>
  <c r="K91" i="1"/>
  <c r="I93" i="1" l="1"/>
  <c r="J93" i="1" s="1"/>
  <c r="K92" i="1"/>
  <c r="I94" i="1" l="1"/>
  <c r="J94" i="1" s="1"/>
  <c r="K93" i="1"/>
  <c r="I95" i="1" l="1"/>
  <c r="J95" i="1" s="1"/>
  <c r="K94" i="1"/>
  <c r="I96" i="1" l="1"/>
  <c r="J96" i="1" s="1"/>
  <c r="K95" i="1"/>
  <c r="I97" i="1" l="1"/>
  <c r="J97" i="1" s="1"/>
  <c r="K96" i="1"/>
  <c r="I98" i="1" l="1"/>
  <c r="J98" i="1" s="1"/>
  <c r="K97" i="1"/>
  <c r="I99" i="1" l="1"/>
  <c r="J99" i="1" s="1"/>
  <c r="K98" i="1"/>
  <c r="I100" i="1" l="1"/>
  <c r="J100" i="1" s="1"/>
  <c r="K99" i="1"/>
  <c r="I101" i="1" l="1"/>
  <c r="J101" i="1" s="1"/>
  <c r="K100" i="1"/>
  <c r="I102" i="1" l="1"/>
  <c r="J102" i="1" s="1"/>
  <c r="K101" i="1"/>
  <c r="I103" i="1" l="1"/>
  <c r="J103" i="1" s="1"/>
  <c r="K102" i="1"/>
  <c r="I104" i="1" l="1"/>
  <c r="J104" i="1" s="1"/>
  <c r="K103" i="1"/>
  <c r="I105" i="1" l="1"/>
  <c r="J105" i="1" s="1"/>
  <c r="K104" i="1"/>
  <c r="I106" i="1" l="1"/>
  <c r="J106" i="1" s="1"/>
  <c r="K105" i="1"/>
  <c r="I107" i="1" l="1"/>
  <c r="J107" i="1" s="1"/>
  <c r="K106" i="1"/>
  <c r="I108" i="1" l="1"/>
  <c r="J108" i="1" s="1"/>
  <c r="K107" i="1"/>
  <c r="I109" i="1" l="1"/>
  <c r="J109" i="1" s="1"/>
  <c r="K108" i="1"/>
  <c r="I110" i="1" l="1"/>
  <c r="J110" i="1" s="1"/>
  <c r="K109" i="1"/>
  <c r="I111" i="1" l="1"/>
  <c r="J111" i="1" s="1"/>
  <c r="K110" i="1"/>
  <c r="I112" i="1" l="1"/>
  <c r="J112" i="1" s="1"/>
  <c r="K111" i="1"/>
  <c r="I113" i="1" l="1"/>
  <c r="J113" i="1" s="1"/>
  <c r="K112" i="1"/>
  <c r="I114" i="1" l="1"/>
  <c r="J114" i="1" s="1"/>
  <c r="K113" i="1"/>
  <c r="I115" i="1" l="1"/>
  <c r="J115" i="1" s="1"/>
  <c r="K114" i="1"/>
  <c r="I116" i="1" l="1"/>
  <c r="J116" i="1" s="1"/>
  <c r="K115" i="1"/>
  <c r="I117" i="1" l="1"/>
  <c r="J117" i="1" s="1"/>
  <c r="K116" i="1"/>
  <c r="I118" i="1" l="1"/>
  <c r="J118" i="1" s="1"/>
  <c r="K117" i="1"/>
  <c r="I119" i="1" l="1"/>
  <c r="J119" i="1" s="1"/>
  <c r="K118" i="1"/>
  <c r="I120" i="1" l="1"/>
  <c r="J120" i="1" s="1"/>
  <c r="K119" i="1"/>
  <c r="I121" i="1" l="1"/>
  <c r="J121" i="1" s="1"/>
  <c r="K120" i="1"/>
  <c r="I122" i="1" l="1"/>
  <c r="J122" i="1" s="1"/>
  <c r="K121" i="1"/>
  <c r="I123" i="1" l="1"/>
  <c r="J123" i="1" s="1"/>
  <c r="K122" i="1"/>
  <c r="I124" i="1" l="1"/>
  <c r="J124" i="1" s="1"/>
  <c r="K123" i="1"/>
  <c r="I125" i="1" l="1"/>
  <c r="J125" i="1" s="1"/>
  <c r="K124" i="1"/>
  <c r="I126" i="1" l="1"/>
  <c r="J126" i="1" s="1"/>
  <c r="K125" i="1"/>
  <c r="I127" i="1" l="1"/>
  <c r="J127" i="1" s="1"/>
  <c r="K126" i="1"/>
  <c r="I128" i="1" l="1"/>
  <c r="J128" i="1" s="1"/>
  <c r="K127" i="1"/>
  <c r="I129" i="1" l="1"/>
  <c r="J129" i="1" s="1"/>
  <c r="K128" i="1"/>
  <c r="I130" i="1" l="1"/>
  <c r="J130" i="1" s="1"/>
  <c r="K129" i="1"/>
  <c r="I131" i="1" l="1"/>
  <c r="J131" i="1" s="1"/>
  <c r="K130" i="1"/>
  <c r="I132" i="1" l="1"/>
  <c r="J132" i="1" s="1"/>
  <c r="K131" i="1"/>
  <c r="I133" i="1" l="1"/>
  <c r="J133" i="1" s="1"/>
  <c r="K132" i="1"/>
  <c r="I134" i="1" l="1"/>
  <c r="J134" i="1" s="1"/>
  <c r="K133" i="1"/>
  <c r="I135" i="1" l="1"/>
  <c r="J135" i="1" s="1"/>
  <c r="K134" i="1"/>
  <c r="I136" i="1" l="1"/>
  <c r="J136" i="1" s="1"/>
  <c r="K135" i="1"/>
  <c r="I137" i="1" l="1"/>
  <c r="J137" i="1" s="1"/>
  <c r="K136" i="1"/>
  <c r="I138" i="1" l="1"/>
  <c r="J138" i="1" s="1"/>
  <c r="K137" i="1"/>
  <c r="I139" i="1" l="1"/>
  <c r="J139" i="1" s="1"/>
  <c r="K138" i="1"/>
  <c r="I140" i="1" l="1"/>
  <c r="J140" i="1" s="1"/>
  <c r="K139" i="1"/>
  <c r="I141" i="1" l="1"/>
  <c r="J141" i="1" s="1"/>
  <c r="K140" i="1"/>
  <c r="I142" i="1" l="1"/>
  <c r="J142" i="1" s="1"/>
  <c r="K141" i="1"/>
  <c r="I143" i="1" l="1"/>
  <c r="J143" i="1" s="1"/>
  <c r="K142" i="1"/>
  <c r="I144" i="1" l="1"/>
  <c r="J144" i="1" s="1"/>
  <c r="K143" i="1"/>
  <c r="I145" i="1" l="1"/>
  <c r="J145" i="1" s="1"/>
  <c r="K144" i="1"/>
  <c r="I146" i="1" l="1"/>
  <c r="J146" i="1" s="1"/>
  <c r="K145" i="1"/>
  <c r="I147" i="1" l="1"/>
  <c r="J147" i="1" s="1"/>
  <c r="K146" i="1"/>
  <c r="I148" i="1" l="1"/>
  <c r="J148" i="1" s="1"/>
  <c r="K147" i="1"/>
  <c r="I149" i="1" l="1"/>
  <c r="J149" i="1" s="1"/>
  <c r="K148" i="1"/>
  <c r="I150" i="1" l="1"/>
  <c r="J150" i="1" s="1"/>
  <c r="K149" i="1"/>
  <c r="I151" i="1" l="1"/>
  <c r="J151" i="1" s="1"/>
  <c r="K150" i="1"/>
  <c r="I152" i="1" l="1"/>
  <c r="J152" i="1" s="1"/>
  <c r="K151" i="1"/>
  <c r="I153" i="1" l="1"/>
  <c r="J153" i="1" s="1"/>
  <c r="K152" i="1"/>
  <c r="I154" i="1" l="1"/>
  <c r="J154" i="1" s="1"/>
  <c r="K153" i="1"/>
  <c r="I155" i="1" l="1"/>
  <c r="J155" i="1" s="1"/>
  <c r="K154" i="1"/>
  <c r="I156" i="1" l="1"/>
  <c r="J156" i="1" s="1"/>
  <c r="K155" i="1"/>
  <c r="I157" i="1" l="1"/>
  <c r="J157" i="1" s="1"/>
  <c r="K156" i="1"/>
  <c r="I158" i="1" l="1"/>
  <c r="J158" i="1" s="1"/>
  <c r="K157" i="1"/>
  <c r="I159" i="1" l="1"/>
  <c r="J159" i="1" s="1"/>
  <c r="K158" i="1"/>
  <c r="I160" i="1" l="1"/>
  <c r="J160" i="1" s="1"/>
  <c r="K159" i="1"/>
  <c r="I161" i="1" l="1"/>
  <c r="J161" i="1" s="1"/>
  <c r="K160" i="1"/>
  <c r="I162" i="1" l="1"/>
  <c r="J162" i="1" s="1"/>
  <c r="K161" i="1"/>
  <c r="I163" i="1" l="1"/>
  <c r="J163" i="1" s="1"/>
  <c r="K162" i="1"/>
  <c r="I164" i="1" l="1"/>
  <c r="J164" i="1" s="1"/>
  <c r="K163" i="1"/>
  <c r="I165" i="1" l="1"/>
  <c r="J165" i="1" s="1"/>
  <c r="K164" i="1"/>
  <c r="I166" i="1" l="1"/>
  <c r="J166" i="1" s="1"/>
  <c r="K165" i="1"/>
  <c r="I167" i="1" l="1"/>
  <c r="J167" i="1" s="1"/>
  <c r="K166" i="1"/>
  <c r="I168" i="1" l="1"/>
  <c r="J168" i="1" s="1"/>
  <c r="K167" i="1"/>
  <c r="I169" i="1" l="1"/>
  <c r="J169" i="1" s="1"/>
  <c r="K168" i="1"/>
  <c r="I170" i="1" l="1"/>
  <c r="J170" i="1" s="1"/>
  <c r="K169" i="1"/>
  <c r="I171" i="1" l="1"/>
  <c r="J171" i="1" s="1"/>
  <c r="K170" i="1"/>
  <c r="I172" i="1" l="1"/>
  <c r="J172" i="1" s="1"/>
  <c r="K171" i="1"/>
  <c r="I173" i="1" l="1"/>
  <c r="J173" i="1" s="1"/>
  <c r="K172" i="1"/>
  <c r="I174" i="1" l="1"/>
  <c r="J174" i="1" s="1"/>
  <c r="K173" i="1"/>
  <c r="I175" i="1" l="1"/>
  <c r="J175" i="1" s="1"/>
  <c r="K174" i="1"/>
  <c r="I176" i="1" l="1"/>
  <c r="J176" i="1" s="1"/>
  <c r="K175" i="1"/>
  <c r="I177" i="1" l="1"/>
  <c r="J177" i="1" s="1"/>
  <c r="K176" i="1"/>
  <c r="I178" i="1" l="1"/>
  <c r="J178" i="1" s="1"/>
  <c r="K177" i="1"/>
  <c r="I179" i="1" l="1"/>
  <c r="J179" i="1" s="1"/>
  <c r="K178" i="1"/>
  <c r="I180" i="1" l="1"/>
  <c r="J180" i="1" s="1"/>
  <c r="K179" i="1"/>
  <c r="I181" i="1" l="1"/>
  <c r="J181" i="1" s="1"/>
  <c r="K180" i="1"/>
  <c r="I182" i="1" l="1"/>
  <c r="J182" i="1" s="1"/>
  <c r="K181" i="1"/>
  <c r="I183" i="1" l="1"/>
  <c r="J183" i="1" s="1"/>
  <c r="K182" i="1"/>
  <c r="I184" i="1" l="1"/>
  <c r="J184" i="1" s="1"/>
  <c r="K183" i="1"/>
  <c r="I185" i="1" l="1"/>
  <c r="J185" i="1" s="1"/>
  <c r="K184" i="1"/>
  <c r="I186" i="1" l="1"/>
  <c r="J186" i="1" s="1"/>
  <c r="K185" i="1"/>
  <c r="I187" i="1" l="1"/>
  <c r="J187" i="1" s="1"/>
  <c r="K186" i="1"/>
  <c r="I188" i="1" l="1"/>
  <c r="J188" i="1" s="1"/>
  <c r="K187" i="1"/>
  <c r="I189" i="1" l="1"/>
  <c r="J189" i="1" s="1"/>
  <c r="K188" i="1"/>
  <c r="I190" i="1" l="1"/>
  <c r="J190" i="1" s="1"/>
  <c r="K189" i="1"/>
  <c r="I191" i="1" l="1"/>
  <c r="J191" i="1" s="1"/>
  <c r="K190" i="1"/>
  <c r="I192" i="1" l="1"/>
  <c r="J192" i="1" s="1"/>
  <c r="K191" i="1"/>
  <c r="I193" i="1" l="1"/>
  <c r="J193" i="1" s="1"/>
  <c r="K192" i="1"/>
  <c r="I194" i="1" l="1"/>
  <c r="J194" i="1" s="1"/>
  <c r="K193" i="1"/>
  <c r="I195" i="1" l="1"/>
  <c r="J195" i="1" s="1"/>
  <c r="K194" i="1"/>
  <c r="I196" i="1" l="1"/>
  <c r="J196" i="1" s="1"/>
  <c r="K195" i="1"/>
  <c r="I197" i="1" l="1"/>
  <c r="J197" i="1" s="1"/>
  <c r="K196" i="1"/>
  <c r="I198" i="1" l="1"/>
  <c r="J198" i="1" s="1"/>
  <c r="K197" i="1"/>
  <c r="I199" i="1" l="1"/>
  <c r="J199" i="1" s="1"/>
  <c r="K198" i="1"/>
  <c r="I200" i="1" l="1"/>
  <c r="J200" i="1" s="1"/>
  <c r="K199" i="1"/>
  <c r="I201" i="1" l="1"/>
  <c r="J201" i="1" s="1"/>
  <c r="K200" i="1"/>
  <c r="I202" i="1" l="1"/>
  <c r="J202" i="1" s="1"/>
  <c r="K201" i="1"/>
  <c r="I203" i="1" l="1"/>
  <c r="K202" i="1"/>
  <c r="J203" i="1" l="1"/>
  <c r="K203" i="1" s="1"/>
</calcChain>
</file>

<file path=xl/sharedStrings.xml><?xml version="1.0" encoding="utf-8"?>
<sst xmlns="http://schemas.openxmlformats.org/spreadsheetml/2006/main" count="220" uniqueCount="31">
  <si>
    <t>leverage</t>
  </si>
  <si>
    <t>margin in $</t>
  </si>
  <si>
    <t>position value in $</t>
  </si>
  <si>
    <t>leverage in x</t>
  </si>
  <si>
    <t>Price in $</t>
  </si>
  <si>
    <t>unrealized PL in $</t>
  </si>
  <si>
    <t>Position Side</t>
  </si>
  <si>
    <t>long</t>
  </si>
  <si>
    <t>Size quantity</t>
  </si>
  <si>
    <t>Averaging Step Fibonacci Number</t>
  </si>
  <si>
    <t>Averaging Steps</t>
  </si>
  <si>
    <t>given delta is</t>
  </si>
  <si>
    <t>Delta to Entry Price</t>
  </si>
  <si>
    <t>BackTested number of Averaging steps for this delta and this coin</t>
  </si>
  <si>
    <t>position Multipliers Fibonacci Numbers</t>
  </si>
  <si>
    <t>Multipliers</t>
  </si>
  <si>
    <t>k coeficient</t>
  </si>
  <si>
    <t>results in fibonacci numbers 21, 13, 8, 5, 3</t>
  </si>
  <si>
    <t>fibonacci steps</t>
  </si>
  <si>
    <t>Step1</t>
  </si>
  <si>
    <t>Step2</t>
  </si>
  <si>
    <t>Step3</t>
  </si>
  <si>
    <t>Step4</t>
  </si>
  <si>
    <t>Step5</t>
  </si>
  <si>
    <t>applied to given delta</t>
  </si>
  <si>
    <t>Averaging Steps Prices</t>
  </si>
  <si>
    <t>Entry Price</t>
  </si>
  <si>
    <t>Postion Multiplier</t>
  </si>
  <si>
    <t>Weighted average Position Price</t>
  </si>
  <si>
    <t>Initial Size</t>
  </si>
  <si>
    <t>Unrealized PL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</si>
</sst>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7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Fill="1" applyBorder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2" xfId="0" applyBorder="1"/>
    <xf numFmtId="167" fontId="0" fillId="0" borderId="2" xfId="0" applyNumberFormat="1" applyBorder="1"/>
    <xf numFmtId="167" fontId="0" fillId="0" borderId="2" xfId="0" applyNumberFormat="1" applyBorder="1" applyAlignment="1">
      <alignment horizontal="center"/>
    </xf>
    <xf numFmtId="165" fontId="0" fillId="0" borderId="2" xfId="1" applyNumberFormat="1" applyFont="1" applyBorder="1"/>
    <xf numFmtId="43" fontId="0" fillId="0" borderId="2" xfId="0" applyNumberFormat="1" applyBorder="1"/>
    <xf numFmtId="10" fontId="0" fillId="0" borderId="2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97D6-A9B7-4091-9720-828D41515C26}">
  <dimension ref="A3:P203"/>
  <sheetViews>
    <sheetView tabSelected="1" workbookViewId="0">
      <selection activeCell="E8" sqref="E8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12.42578125" bestFit="1" customWidth="1"/>
    <col min="4" max="4" width="9" bestFit="1" customWidth="1"/>
    <col min="5" max="5" width="21.140625" bestFit="1" customWidth="1"/>
    <col min="6" max="6" width="10.7109375" bestFit="1" customWidth="1"/>
    <col min="7" max="7" width="8.7109375" bestFit="1" customWidth="1"/>
    <col min="8" max="8" width="17.42578125" bestFit="1" customWidth="1"/>
    <col min="9" max="9" width="16.5703125" bestFit="1" customWidth="1"/>
    <col min="10" max="10" width="16.5703125" style="5" bestFit="1" customWidth="1"/>
    <col min="11" max="11" width="23.85546875" style="18" bestFit="1" customWidth="1"/>
    <col min="12" max="12" width="31.42578125" style="5" bestFit="1" customWidth="1"/>
    <col min="13" max="13" width="15.28515625" bestFit="1" customWidth="1"/>
    <col min="14" max="14" width="36.5703125" style="1" bestFit="1" customWidth="1"/>
    <col min="15" max="15" width="12.140625" bestFit="1" customWidth="1"/>
    <col min="16" max="16" width="11.28515625" bestFit="1" customWidth="1"/>
  </cols>
  <sheetData>
    <row r="3" spans="5:11" x14ac:dyDescent="0.25">
      <c r="F3" s="11" t="s">
        <v>19</v>
      </c>
      <c r="G3" s="11" t="s">
        <v>20</v>
      </c>
      <c r="H3" s="11" t="s">
        <v>21</v>
      </c>
      <c r="I3" s="11" t="s">
        <v>22</v>
      </c>
      <c r="J3" s="11" t="s">
        <v>23</v>
      </c>
      <c r="K3" s="16"/>
    </row>
    <row r="4" spans="5:11" x14ac:dyDescent="0.25">
      <c r="E4" t="s">
        <v>18</v>
      </c>
      <c r="F4" s="11">
        <v>21</v>
      </c>
      <c r="G4" s="11">
        <v>13</v>
      </c>
      <c r="H4" s="11">
        <v>8</v>
      </c>
      <c r="I4" s="11">
        <v>5</v>
      </c>
      <c r="J4" s="11">
        <v>3</v>
      </c>
      <c r="K4" s="16"/>
    </row>
    <row r="5" spans="5:11" x14ac:dyDescent="0.25">
      <c r="F5" s="12">
        <f>F4/SUM($F$4:$J$4)</f>
        <v>0.42</v>
      </c>
      <c r="G5" s="12">
        <f t="shared" ref="G5:J5" si="0">G4/SUM($F$4:$J$4)</f>
        <v>0.26</v>
      </c>
      <c r="H5" s="12">
        <f t="shared" si="0"/>
        <v>0.16</v>
      </c>
      <c r="I5" s="12">
        <f t="shared" si="0"/>
        <v>0.1</v>
      </c>
      <c r="J5" s="12">
        <f t="shared" si="0"/>
        <v>0.06</v>
      </c>
      <c r="K5" s="17"/>
    </row>
    <row r="6" spans="5:11" x14ac:dyDescent="0.25">
      <c r="E6" t="s">
        <v>24</v>
      </c>
      <c r="F6" s="11">
        <f>F5*$H$14</f>
        <v>420</v>
      </c>
      <c r="G6" s="11">
        <f t="shared" ref="G6:J6" si="1">G5*$H$14</f>
        <v>260</v>
      </c>
      <c r="H6" s="11">
        <f t="shared" si="1"/>
        <v>160</v>
      </c>
      <c r="I6" s="11">
        <f t="shared" si="1"/>
        <v>100</v>
      </c>
      <c r="J6" s="11">
        <f t="shared" si="1"/>
        <v>60</v>
      </c>
      <c r="K6" s="16"/>
    </row>
    <row r="7" spans="5:11" x14ac:dyDescent="0.25">
      <c r="F7" s="11"/>
      <c r="G7" s="11"/>
      <c r="H7" s="11"/>
      <c r="I7" s="11"/>
      <c r="J7" s="11"/>
      <c r="K7" s="16"/>
    </row>
    <row r="8" spans="5:11" x14ac:dyDescent="0.25">
      <c r="E8" t="s">
        <v>25</v>
      </c>
      <c r="F8" s="13">
        <f>H13-F6</f>
        <v>9580</v>
      </c>
      <c r="G8" s="13">
        <f>F8-G6</f>
        <v>9320</v>
      </c>
      <c r="H8" s="13">
        <f>G8-H6</f>
        <v>9160</v>
      </c>
      <c r="I8" s="13">
        <f>H8-I6</f>
        <v>9060</v>
      </c>
      <c r="J8" s="13">
        <f>I8-J6</f>
        <v>9000</v>
      </c>
      <c r="K8" s="16"/>
    </row>
    <row r="9" spans="5:11" x14ac:dyDescent="0.25">
      <c r="F9" s="11" t="s">
        <v>19</v>
      </c>
      <c r="G9" s="11" t="s">
        <v>20</v>
      </c>
      <c r="H9" s="11" t="s">
        <v>21</v>
      </c>
      <c r="I9" s="11" t="s">
        <v>22</v>
      </c>
      <c r="J9" s="11" t="s">
        <v>23</v>
      </c>
      <c r="K9" s="16"/>
    </row>
    <row r="10" spans="5:11" x14ac:dyDescent="0.25">
      <c r="F10" s="11"/>
      <c r="G10" s="11"/>
      <c r="H10" s="11"/>
      <c r="I10" s="11"/>
      <c r="J10" s="11"/>
      <c r="K10" s="16"/>
    </row>
    <row r="11" spans="5:11" x14ac:dyDescent="0.25">
      <c r="E11" t="s">
        <v>27</v>
      </c>
      <c r="F11" s="11">
        <v>1</v>
      </c>
      <c r="G11" s="11">
        <v>1</v>
      </c>
      <c r="H11" s="11">
        <v>2</v>
      </c>
      <c r="I11" s="11">
        <v>3</v>
      </c>
      <c r="J11" s="11">
        <v>5</v>
      </c>
      <c r="K11" s="16"/>
    </row>
    <row r="12" spans="5:11" x14ac:dyDescent="0.25">
      <c r="F12" s="5"/>
      <c r="G12" s="5"/>
      <c r="H12" s="5"/>
      <c r="I12" s="5"/>
    </row>
    <row r="13" spans="5:11" x14ac:dyDescent="0.25">
      <c r="G13" t="s">
        <v>26</v>
      </c>
      <c r="H13" s="3">
        <f>D19</f>
        <v>10000</v>
      </c>
    </row>
    <row r="14" spans="5:11" x14ac:dyDescent="0.25">
      <c r="G14" s="7" t="s">
        <v>11</v>
      </c>
      <c r="H14">
        <v>1000</v>
      </c>
    </row>
    <row r="15" spans="5:11" x14ac:dyDescent="0.25">
      <c r="G15" s="7" t="s">
        <v>13</v>
      </c>
      <c r="H15">
        <v>5</v>
      </c>
      <c r="I15" t="s">
        <v>17</v>
      </c>
    </row>
    <row r="16" spans="5:11" x14ac:dyDescent="0.25">
      <c r="G16" t="s">
        <v>0</v>
      </c>
      <c r="H16">
        <v>7</v>
      </c>
    </row>
    <row r="18" spans="1:16" x14ac:dyDescent="0.25">
      <c r="A18" s="8" t="s">
        <v>6</v>
      </c>
      <c r="B18" t="s">
        <v>29</v>
      </c>
      <c r="C18" s="8" t="s">
        <v>8</v>
      </c>
      <c r="D18" s="8" t="s">
        <v>4</v>
      </c>
      <c r="E18" s="8" t="s">
        <v>12</v>
      </c>
      <c r="F18" s="8" t="s">
        <v>1</v>
      </c>
      <c r="G18" s="8" t="s">
        <v>3</v>
      </c>
      <c r="H18" s="8" t="s">
        <v>2</v>
      </c>
      <c r="I18" s="14" t="s">
        <v>28</v>
      </c>
      <c r="J18" s="8" t="s">
        <v>5</v>
      </c>
      <c r="K18" s="19" t="s">
        <v>30</v>
      </c>
      <c r="L18" s="9" t="s">
        <v>9</v>
      </c>
      <c r="M18" s="9" t="s">
        <v>10</v>
      </c>
      <c r="N18" s="8" t="s">
        <v>14</v>
      </c>
      <c r="O18" s="10" t="s">
        <v>15</v>
      </c>
      <c r="P18" s="8" t="s">
        <v>16</v>
      </c>
    </row>
    <row r="19" spans="1:16" x14ac:dyDescent="0.25">
      <c r="A19" t="s">
        <v>7</v>
      </c>
      <c r="B19" s="15">
        <f>C19</f>
        <v>0.1</v>
      </c>
      <c r="C19" s="6">
        <v>0.1</v>
      </c>
      <c r="D19" s="2">
        <v>10000</v>
      </c>
      <c r="E19" s="2">
        <f>D19-$D$19</f>
        <v>0</v>
      </c>
      <c r="F19" s="4">
        <f>H19/G19</f>
        <v>142.85714285714286</v>
      </c>
      <c r="G19">
        <f>$H$16</f>
        <v>7</v>
      </c>
      <c r="H19" s="4">
        <f>C19*D19</f>
        <v>1000</v>
      </c>
      <c r="I19" s="3">
        <f>D19</f>
        <v>10000</v>
      </c>
      <c r="J19" s="4">
        <f>H19/G19-$F$19</f>
        <v>0</v>
      </c>
      <c r="K19" s="18">
        <v>0</v>
      </c>
      <c r="L19" s="5" t="str">
        <f>IFERROR(HLOOKUP(M19,$3:$4,2,0),"")</f>
        <v/>
      </c>
      <c r="M19" s="5" t="str">
        <f>IFERROR(HLOOKUP(D19,$8:$9,2,0),"")</f>
        <v/>
      </c>
      <c r="N19" t="str">
        <f>IFERROR(HLOOKUP(M19,$9:$11,3,0),"")</f>
        <v/>
      </c>
      <c r="O19" s="1" t="str">
        <f>IFERROR(P19*N19,"")</f>
        <v/>
      </c>
      <c r="P19">
        <f>0.6</f>
        <v>0.6</v>
      </c>
    </row>
    <row r="20" spans="1:16" x14ac:dyDescent="0.25">
      <c r="A20" t="s">
        <v>7</v>
      </c>
      <c r="B20" s="15">
        <f>B19</f>
        <v>0.1</v>
      </c>
      <c r="C20" s="6">
        <v>0.1</v>
      </c>
      <c r="D20" s="2">
        <f>D19-20</f>
        <v>9980</v>
      </c>
      <c r="E20" s="2">
        <f t="shared" ref="E20:E83" si="2">D20-$D$19</f>
        <v>-20</v>
      </c>
      <c r="F20" s="4">
        <v>142.85714285714286</v>
      </c>
      <c r="G20">
        <f t="shared" ref="G20:G83" si="3">$H$16</f>
        <v>7</v>
      </c>
      <c r="H20" s="4">
        <f t="shared" ref="H20:H44" si="4">C20*D20</f>
        <v>998</v>
      </c>
      <c r="I20" s="3">
        <f>I19</f>
        <v>10000</v>
      </c>
      <c r="J20" s="4">
        <f>(H20-H19)/G20</f>
        <v>-0.2857142857142857</v>
      </c>
      <c r="K20" s="20">
        <f>J20/F20</f>
        <v>-2E-3</v>
      </c>
      <c r="L20" s="5" t="str">
        <f>IFERROR(HLOOKUP(M20,$3:$4,2,0),"")</f>
        <v/>
      </c>
      <c r="M20" s="5" t="str">
        <f>IFERROR(HLOOKUP(D20,$8:$9,2,0),"")</f>
        <v/>
      </c>
      <c r="N20" t="str">
        <f>IFERROR(HLOOKUP(M20,$9:$11,3,0),"")</f>
        <v/>
      </c>
      <c r="O20" s="1" t="str">
        <f t="shared" ref="O20:O83" si="5">IFERROR(P20*N20,"")</f>
        <v/>
      </c>
      <c r="P20">
        <f t="shared" ref="P20:P83" si="6">0.6</f>
        <v>0.6</v>
      </c>
    </row>
    <row r="21" spans="1:16" x14ac:dyDescent="0.25">
      <c r="A21" t="s">
        <v>7</v>
      </c>
      <c r="B21" s="15">
        <f t="shared" ref="B21:B84" si="7">B20</f>
        <v>0.1</v>
      </c>
      <c r="C21" s="6">
        <v>0.1</v>
      </c>
      <c r="D21" s="2">
        <f t="shared" ref="D21:D84" si="8">D20-20</f>
        <v>9960</v>
      </c>
      <c r="E21" s="2">
        <f t="shared" si="2"/>
        <v>-40</v>
      </c>
      <c r="F21" s="4">
        <v>142.85714285714286</v>
      </c>
      <c r="G21">
        <f t="shared" si="3"/>
        <v>7</v>
      </c>
      <c r="H21" s="4">
        <f t="shared" si="4"/>
        <v>996</v>
      </c>
      <c r="I21" s="3">
        <f t="shared" ref="I21:I39" si="9">I20</f>
        <v>10000</v>
      </c>
      <c r="J21" s="4">
        <f t="shared" ref="J21:J84" si="10">(D21-I21)*C21/G21</f>
        <v>-0.5714285714285714</v>
      </c>
      <c r="K21" s="20">
        <f t="shared" ref="K21:K84" si="11">J21/F21</f>
        <v>-4.0000000000000001E-3</v>
      </c>
      <c r="L21" s="5" t="str">
        <f>IFERROR(HLOOKUP(M21,$3:$4,2,0),"")</f>
        <v/>
      </c>
      <c r="M21" s="5" t="str">
        <f>IFERROR(HLOOKUP(D21,$8:$9,2,0),"")</f>
        <v/>
      </c>
      <c r="N21" t="str">
        <f>IFERROR(HLOOKUP(M21,$9:$11,3,0),"")</f>
        <v/>
      </c>
      <c r="O21" s="1" t="str">
        <f t="shared" si="5"/>
        <v/>
      </c>
      <c r="P21">
        <f t="shared" si="6"/>
        <v>0.6</v>
      </c>
    </row>
    <row r="22" spans="1:16" x14ac:dyDescent="0.25">
      <c r="A22" t="s">
        <v>7</v>
      </c>
      <c r="B22" s="15">
        <f t="shared" si="7"/>
        <v>0.1</v>
      </c>
      <c r="C22" s="6">
        <v>0.1</v>
      </c>
      <c r="D22" s="2">
        <f t="shared" si="8"/>
        <v>9940</v>
      </c>
      <c r="E22" s="2">
        <f t="shared" si="2"/>
        <v>-60</v>
      </c>
      <c r="F22" s="4">
        <v>142.85714285714286</v>
      </c>
      <c r="G22">
        <f t="shared" si="3"/>
        <v>7</v>
      </c>
      <c r="H22" s="4">
        <f t="shared" si="4"/>
        <v>994</v>
      </c>
      <c r="I22" s="3">
        <f t="shared" si="9"/>
        <v>10000</v>
      </c>
      <c r="J22" s="4">
        <f t="shared" si="10"/>
        <v>-0.8571428571428571</v>
      </c>
      <c r="K22" s="20">
        <f t="shared" si="11"/>
        <v>-5.9999999999999993E-3</v>
      </c>
      <c r="L22" s="5" t="str">
        <f>IFERROR(HLOOKUP(M22,$3:$4,2,0),"")</f>
        <v/>
      </c>
      <c r="M22" s="5" t="str">
        <f>IFERROR(HLOOKUP(D22,$8:$9,2,0),"")</f>
        <v/>
      </c>
      <c r="N22" t="str">
        <f>IFERROR(HLOOKUP(M22,$9:$11,3,0),"")</f>
        <v/>
      </c>
      <c r="O22" s="1" t="str">
        <f t="shared" si="5"/>
        <v/>
      </c>
      <c r="P22">
        <f t="shared" si="6"/>
        <v>0.6</v>
      </c>
    </row>
    <row r="23" spans="1:16" x14ac:dyDescent="0.25">
      <c r="A23" t="s">
        <v>7</v>
      </c>
      <c r="B23" s="15">
        <f t="shared" si="7"/>
        <v>0.1</v>
      </c>
      <c r="C23" s="6">
        <v>0.1</v>
      </c>
      <c r="D23" s="2">
        <f t="shared" si="8"/>
        <v>9920</v>
      </c>
      <c r="E23" s="2">
        <f t="shared" si="2"/>
        <v>-80</v>
      </c>
      <c r="F23" s="4">
        <v>142.85714285714286</v>
      </c>
      <c r="G23">
        <f t="shared" si="3"/>
        <v>7</v>
      </c>
      <c r="H23" s="4">
        <f t="shared" si="4"/>
        <v>992</v>
      </c>
      <c r="I23" s="3">
        <f t="shared" si="9"/>
        <v>10000</v>
      </c>
      <c r="J23" s="4">
        <f t="shared" si="10"/>
        <v>-1.1428571428571428</v>
      </c>
      <c r="K23" s="20">
        <f t="shared" si="11"/>
        <v>-8.0000000000000002E-3</v>
      </c>
      <c r="L23" s="5" t="str">
        <f>IFERROR(HLOOKUP(M23,$3:$4,2,0),"")</f>
        <v/>
      </c>
      <c r="M23" s="5" t="str">
        <f>IFERROR(HLOOKUP(D23,$8:$9,2,0),"")</f>
        <v/>
      </c>
      <c r="N23" t="str">
        <f>IFERROR(HLOOKUP(M23,$9:$11,3,0),"")</f>
        <v/>
      </c>
      <c r="O23" s="1" t="str">
        <f t="shared" si="5"/>
        <v/>
      </c>
      <c r="P23">
        <f t="shared" si="6"/>
        <v>0.6</v>
      </c>
    </row>
    <row r="24" spans="1:16" x14ac:dyDescent="0.25">
      <c r="A24" t="s">
        <v>7</v>
      </c>
      <c r="B24" s="15">
        <f t="shared" si="7"/>
        <v>0.1</v>
      </c>
      <c r="C24" s="6">
        <v>0.1</v>
      </c>
      <c r="D24" s="2">
        <f t="shared" si="8"/>
        <v>9900</v>
      </c>
      <c r="E24" s="2">
        <f t="shared" si="2"/>
        <v>-100</v>
      </c>
      <c r="F24" s="4">
        <v>142.85714285714286</v>
      </c>
      <c r="G24">
        <f t="shared" si="3"/>
        <v>7</v>
      </c>
      <c r="H24" s="4">
        <f t="shared" si="4"/>
        <v>990</v>
      </c>
      <c r="I24" s="3">
        <f t="shared" si="9"/>
        <v>10000</v>
      </c>
      <c r="J24" s="4">
        <f t="shared" si="10"/>
        <v>-1.4285714285714286</v>
      </c>
      <c r="K24" s="20">
        <f t="shared" si="11"/>
        <v>-0.01</v>
      </c>
      <c r="L24" s="5" t="str">
        <f>IFERROR(HLOOKUP(M24,$3:$4,2,0),"")</f>
        <v/>
      </c>
      <c r="M24" s="5" t="str">
        <f>IFERROR(HLOOKUP(D24,$8:$9,2,0),"")</f>
        <v/>
      </c>
      <c r="N24" t="str">
        <f>IFERROR(HLOOKUP(M24,$9:$11,3,0),"")</f>
        <v/>
      </c>
      <c r="O24" s="1" t="str">
        <f t="shared" si="5"/>
        <v/>
      </c>
      <c r="P24">
        <f t="shared" si="6"/>
        <v>0.6</v>
      </c>
    </row>
    <row r="25" spans="1:16" x14ac:dyDescent="0.25">
      <c r="A25" t="s">
        <v>7</v>
      </c>
      <c r="B25" s="15">
        <f t="shared" si="7"/>
        <v>0.1</v>
      </c>
      <c r="C25" s="6">
        <v>0.1</v>
      </c>
      <c r="D25" s="2">
        <f t="shared" si="8"/>
        <v>9880</v>
      </c>
      <c r="E25" s="2">
        <f t="shared" si="2"/>
        <v>-120</v>
      </c>
      <c r="F25" s="4">
        <v>142.85714285714286</v>
      </c>
      <c r="G25">
        <f t="shared" si="3"/>
        <v>7</v>
      </c>
      <c r="H25" s="4">
        <f t="shared" si="4"/>
        <v>988</v>
      </c>
      <c r="I25" s="3">
        <f t="shared" si="9"/>
        <v>10000</v>
      </c>
      <c r="J25" s="4">
        <f t="shared" si="10"/>
        <v>-1.7142857142857142</v>
      </c>
      <c r="K25" s="20">
        <f t="shared" si="11"/>
        <v>-1.1999999999999999E-2</v>
      </c>
      <c r="L25" s="5" t="str">
        <f>IFERROR(HLOOKUP(M25,$3:$4,2,0),"")</f>
        <v/>
      </c>
      <c r="M25" s="5" t="str">
        <f>IFERROR(HLOOKUP(D25,$8:$9,2,0),"")</f>
        <v/>
      </c>
      <c r="N25" t="str">
        <f>IFERROR(HLOOKUP(M25,$9:$11,3,0),"")</f>
        <v/>
      </c>
      <c r="O25" s="1" t="str">
        <f t="shared" si="5"/>
        <v/>
      </c>
      <c r="P25">
        <f t="shared" si="6"/>
        <v>0.6</v>
      </c>
    </row>
    <row r="26" spans="1:16" x14ac:dyDescent="0.25">
      <c r="A26" t="s">
        <v>7</v>
      </c>
      <c r="B26" s="15">
        <f t="shared" si="7"/>
        <v>0.1</v>
      </c>
      <c r="C26" s="6">
        <v>0.1</v>
      </c>
      <c r="D26" s="2">
        <f t="shared" si="8"/>
        <v>9860</v>
      </c>
      <c r="E26" s="2">
        <f t="shared" si="2"/>
        <v>-140</v>
      </c>
      <c r="F26" s="4">
        <v>142.85714285714286</v>
      </c>
      <c r="G26">
        <f t="shared" si="3"/>
        <v>7</v>
      </c>
      <c r="H26" s="4">
        <f t="shared" si="4"/>
        <v>986</v>
      </c>
      <c r="I26" s="3">
        <f t="shared" si="9"/>
        <v>10000</v>
      </c>
      <c r="J26" s="4">
        <f t="shared" si="10"/>
        <v>-2</v>
      </c>
      <c r="K26" s="20">
        <f t="shared" si="11"/>
        <v>-1.4E-2</v>
      </c>
      <c r="L26" s="5" t="str">
        <f>IFERROR(HLOOKUP(M26,$3:$4,2,0),"")</f>
        <v/>
      </c>
      <c r="M26" s="5" t="str">
        <f>IFERROR(HLOOKUP(D26,$8:$9,2,0),"")</f>
        <v/>
      </c>
      <c r="N26" t="str">
        <f>IFERROR(HLOOKUP(M26,$9:$11,3,0),"")</f>
        <v/>
      </c>
      <c r="O26" s="1" t="str">
        <f t="shared" si="5"/>
        <v/>
      </c>
      <c r="P26">
        <f t="shared" si="6"/>
        <v>0.6</v>
      </c>
    </row>
    <row r="27" spans="1:16" x14ac:dyDescent="0.25">
      <c r="A27" t="s">
        <v>7</v>
      </c>
      <c r="B27" s="15">
        <f t="shared" si="7"/>
        <v>0.1</v>
      </c>
      <c r="C27" s="6">
        <v>0.1</v>
      </c>
      <c r="D27" s="2">
        <f t="shared" si="8"/>
        <v>9840</v>
      </c>
      <c r="E27" s="2">
        <f t="shared" si="2"/>
        <v>-160</v>
      </c>
      <c r="F27" s="4">
        <v>142.85714285714286</v>
      </c>
      <c r="G27">
        <f t="shared" si="3"/>
        <v>7</v>
      </c>
      <c r="H27" s="4">
        <f t="shared" si="4"/>
        <v>984</v>
      </c>
      <c r="I27" s="3">
        <f t="shared" si="9"/>
        <v>10000</v>
      </c>
      <c r="J27" s="4">
        <f t="shared" si="10"/>
        <v>-2.2857142857142856</v>
      </c>
      <c r="K27" s="20">
        <f t="shared" si="11"/>
        <v>-1.6E-2</v>
      </c>
      <c r="L27" s="5" t="str">
        <f>IFERROR(HLOOKUP(M27,$3:$4,2,0),"")</f>
        <v/>
      </c>
      <c r="M27" s="5" t="str">
        <f>IFERROR(HLOOKUP(D27,$8:$9,2,0),"")</f>
        <v/>
      </c>
      <c r="N27" t="str">
        <f>IFERROR(HLOOKUP(M27,$9:$11,3,0),"")</f>
        <v/>
      </c>
      <c r="O27" s="1" t="str">
        <f t="shared" si="5"/>
        <v/>
      </c>
      <c r="P27">
        <f t="shared" si="6"/>
        <v>0.6</v>
      </c>
    </row>
    <row r="28" spans="1:16" x14ac:dyDescent="0.25">
      <c r="A28" t="s">
        <v>7</v>
      </c>
      <c r="B28" s="15">
        <f t="shared" si="7"/>
        <v>0.1</v>
      </c>
      <c r="C28" s="6">
        <v>0.1</v>
      </c>
      <c r="D28" s="2">
        <f t="shared" si="8"/>
        <v>9820</v>
      </c>
      <c r="E28" s="2">
        <f t="shared" si="2"/>
        <v>-180</v>
      </c>
      <c r="F28" s="4">
        <v>142.85714285714286</v>
      </c>
      <c r="G28">
        <f t="shared" si="3"/>
        <v>7</v>
      </c>
      <c r="H28" s="4">
        <f t="shared" si="4"/>
        <v>982</v>
      </c>
      <c r="I28" s="3">
        <f t="shared" si="9"/>
        <v>10000</v>
      </c>
      <c r="J28" s="4">
        <f t="shared" si="10"/>
        <v>-2.5714285714285716</v>
      </c>
      <c r="K28" s="20">
        <f t="shared" si="11"/>
        <v>-1.8000000000000002E-2</v>
      </c>
      <c r="L28" s="5" t="str">
        <f>IFERROR(HLOOKUP(M28,$3:$4,2,0),"")</f>
        <v/>
      </c>
      <c r="M28" s="5" t="str">
        <f>IFERROR(HLOOKUP(D28,$8:$9,2,0),"")</f>
        <v/>
      </c>
      <c r="N28" t="str">
        <f>IFERROR(HLOOKUP(M28,$9:$11,3,0),"")</f>
        <v/>
      </c>
      <c r="O28" s="1" t="str">
        <f t="shared" si="5"/>
        <v/>
      </c>
      <c r="P28">
        <f t="shared" si="6"/>
        <v>0.6</v>
      </c>
    </row>
    <row r="29" spans="1:16" x14ac:dyDescent="0.25">
      <c r="A29" t="s">
        <v>7</v>
      </c>
      <c r="B29" s="15">
        <f t="shared" si="7"/>
        <v>0.1</v>
      </c>
      <c r="C29" s="6">
        <v>0.1</v>
      </c>
      <c r="D29" s="2">
        <f t="shared" si="8"/>
        <v>9800</v>
      </c>
      <c r="E29" s="2">
        <f t="shared" si="2"/>
        <v>-200</v>
      </c>
      <c r="F29" s="4">
        <v>142.85714285714286</v>
      </c>
      <c r="G29">
        <f t="shared" si="3"/>
        <v>7</v>
      </c>
      <c r="H29" s="4">
        <f t="shared" si="4"/>
        <v>980</v>
      </c>
      <c r="I29" s="3">
        <f t="shared" si="9"/>
        <v>10000</v>
      </c>
      <c r="J29" s="4">
        <f t="shared" si="10"/>
        <v>-2.8571428571428572</v>
      </c>
      <c r="K29" s="20">
        <f t="shared" si="11"/>
        <v>-0.02</v>
      </c>
      <c r="L29" s="5" t="str">
        <f>IFERROR(HLOOKUP(M29,$3:$4,2,0),"")</f>
        <v/>
      </c>
      <c r="M29" s="5" t="str">
        <f>IFERROR(HLOOKUP(D29,$8:$9,2,0),"")</f>
        <v/>
      </c>
      <c r="N29" t="str">
        <f>IFERROR(HLOOKUP(M29,$9:$11,3,0),"")</f>
        <v/>
      </c>
      <c r="O29" s="1" t="str">
        <f t="shared" si="5"/>
        <v/>
      </c>
      <c r="P29">
        <f t="shared" si="6"/>
        <v>0.6</v>
      </c>
    </row>
    <row r="30" spans="1:16" x14ac:dyDescent="0.25">
      <c r="A30" t="s">
        <v>7</v>
      </c>
      <c r="B30" s="15">
        <f t="shared" si="7"/>
        <v>0.1</v>
      </c>
      <c r="C30" s="6">
        <v>0.1</v>
      </c>
      <c r="D30" s="2">
        <f t="shared" si="8"/>
        <v>9780</v>
      </c>
      <c r="E30" s="2">
        <f t="shared" si="2"/>
        <v>-220</v>
      </c>
      <c r="F30" s="4">
        <v>142.85714285714286</v>
      </c>
      <c r="G30">
        <f t="shared" si="3"/>
        <v>7</v>
      </c>
      <c r="H30" s="4">
        <f t="shared" si="4"/>
        <v>978</v>
      </c>
      <c r="I30" s="3">
        <f t="shared" si="9"/>
        <v>10000</v>
      </c>
      <c r="J30" s="4">
        <f t="shared" si="10"/>
        <v>-3.1428571428571428</v>
      </c>
      <c r="K30" s="20">
        <f t="shared" si="11"/>
        <v>-2.1999999999999999E-2</v>
      </c>
      <c r="L30" s="5" t="str">
        <f>IFERROR(HLOOKUP(M30,$3:$4,2,0),"")</f>
        <v/>
      </c>
      <c r="M30" s="5" t="str">
        <f>IFERROR(HLOOKUP(D30,$8:$9,2,0),"")</f>
        <v/>
      </c>
      <c r="N30" t="str">
        <f>IFERROR(HLOOKUP(M30,$9:$11,3,0),"")</f>
        <v/>
      </c>
      <c r="O30" s="1" t="str">
        <f t="shared" si="5"/>
        <v/>
      </c>
      <c r="P30">
        <f t="shared" si="6"/>
        <v>0.6</v>
      </c>
    </row>
    <row r="31" spans="1:16" x14ac:dyDescent="0.25">
      <c r="A31" t="s">
        <v>7</v>
      </c>
      <c r="B31" s="15">
        <f t="shared" si="7"/>
        <v>0.1</v>
      </c>
      <c r="C31" s="6">
        <v>0.1</v>
      </c>
      <c r="D31" s="2">
        <f t="shared" si="8"/>
        <v>9760</v>
      </c>
      <c r="E31" s="2">
        <f t="shared" si="2"/>
        <v>-240</v>
      </c>
      <c r="F31" s="4">
        <v>142.85714285714286</v>
      </c>
      <c r="G31">
        <f t="shared" si="3"/>
        <v>7</v>
      </c>
      <c r="H31" s="4">
        <f t="shared" si="4"/>
        <v>976</v>
      </c>
      <c r="I31" s="3">
        <f t="shared" si="9"/>
        <v>10000</v>
      </c>
      <c r="J31" s="4">
        <f t="shared" si="10"/>
        <v>-3.4285714285714284</v>
      </c>
      <c r="K31" s="20">
        <f t="shared" si="11"/>
        <v>-2.3999999999999997E-2</v>
      </c>
      <c r="L31" s="5" t="str">
        <f>IFERROR(HLOOKUP(M31,$3:$4,2,0),"")</f>
        <v/>
      </c>
      <c r="M31" s="5" t="str">
        <f>IFERROR(HLOOKUP(D31,$8:$9,2,0),"")</f>
        <v/>
      </c>
      <c r="N31" t="str">
        <f>IFERROR(HLOOKUP(M31,$9:$11,3,0),"")</f>
        <v/>
      </c>
      <c r="O31" s="1" t="str">
        <f t="shared" si="5"/>
        <v/>
      </c>
      <c r="P31">
        <f t="shared" si="6"/>
        <v>0.6</v>
      </c>
    </row>
    <row r="32" spans="1:16" x14ac:dyDescent="0.25">
      <c r="A32" t="s">
        <v>7</v>
      </c>
      <c r="B32" s="15">
        <f t="shared" si="7"/>
        <v>0.1</v>
      </c>
      <c r="C32" s="6">
        <v>0.1</v>
      </c>
      <c r="D32" s="2">
        <f t="shared" si="8"/>
        <v>9740</v>
      </c>
      <c r="E32" s="2">
        <f t="shared" si="2"/>
        <v>-260</v>
      </c>
      <c r="F32" s="4">
        <v>142.85714285714286</v>
      </c>
      <c r="G32">
        <f t="shared" si="3"/>
        <v>7</v>
      </c>
      <c r="H32" s="4">
        <f t="shared" si="4"/>
        <v>974</v>
      </c>
      <c r="I32" s="3">
        <f t="shared" si="9"/>
        <v>10000</v>
      </c>
      <c r="J32" s="4">
        <f t="shared" si="10"/>
        <v>-3.7142857142857144</v>
      </c>
      <c r="K32" s="20">
        <f t="shared" si="11"/>
        <v>-2.5999999999999999E-2</v>
      </c>
      <c r="L32" s="5" t="str">
        <f>IFERROR(HLOOKUP(M32,$3:$4,2,0),"")</f>
        <v/>
      </c>
      <c r="M32" s="5" t="str">
        <f>IFERROR(HLOOKUP(D32,$8:$9,2,0),"")</f>
        <v/>
      </c>
      <c r="N32" t="str">
        <f>IFERROR(HLOOKUP(M32,$9:$11,3,0),"")</f>
        <v/>
      </c>
      <c r="O32" s="1" t="str">
        <f t="shared" si="5"/>
        <v/>
      </c>
      <c r="P32">
        <f t="shared" si="6"/>
        <v>0.6</v>
      </c>
    </row>
    <row r="33" spans="1:16" x14ac:dyDescent="0.25">
      <c r="A33" t="s">
        <v>7</v>
      </c>
      <c r="B33" s="15">
        <f t="shared" si="7"/>
        <v>0.1</v>
      </c>
      <c r="C33" s="6">
        <v>0.1</v>
      </c>
      <c r="D33" s="2">
        <f t="shared" si="8"/>
        <v>9720</v>
      </c>
      <c r="E33" s="2">
        <f t="shared" si="2"/>
        <v>-280</v>
      </c>
      <c r="F33" s="4">
        <v>142.85714285714286</v>
      </c>
      <c r="G33">
        <f t="shared" si="3"/>
        <v>7</v>
      </c>
      <c r="H33" s="4">
        <f t="shared" si="4"/>
        <v>972</v>
      </c>
      <c r="I33" s="3">
        <f t="shared" si="9"/>
        <v>10000</v>
      </c>
      <c r="J33" s="4">
        <f t="shared" si="10"/>
        <v>-4</v>
      </c>
      <c r="K33" s="20">
        <f t="shared" si="11"/>
        <v>-2.8000000000000001E-2</v>
      </c>
      <c r="L33" s="5" t="str">
        <f>IFERROR(HLOOKUP(M33,$3:$4,2,0),"")</f>
        <v/>
      </c>
      <c r="M33" s="5" t="str">
        <f>IFERROR(HLOOKUP(D33,$8:$9,2,0),"")</f>
        <v/>
      </c>
      <c r="N33" t="str">
        <f>IFERROR(HLOOKUP(M33,$9:$11,3,0),"")</f>
        <v/>
      </c>
      <c r="O33" s="1" t="str">
        <f t="shared" si="5"/>
        <v/>
      </c>
      <c r="P33">
        <f t="shared" si="6"/>
        <v>0.6</v>
      </c>
    </row>
    <row r="34" spans="1:16" x14ac:dyDescent="0.25">
      <c r="A34" t="s">
        <v>7</v>
      </c>
      <c r="B34" s="15">
        <f t="shared" si="7"/>
        <v>0.1</v>
      </c>
      <c r="C34" s="6">
        <v>0.1</v>
      </c>
      <c r="D34" s="2">
        <f t="shared" si="8"/>
        <v>9700</v>
      </c>
      <c r="E34" s="2">
        <f t="shared" si="2"/>
        <v>-300</v>
      </c>
      <c r="F34" s="4">
        <v>142.85714285714286</v>
      </c>
      <c r="G34">
        <f t="shared" si="3"/>
        <v>7</v>
      </c>
      <c r="H34" s="4">
        <f t="shared" si="4"/>
        <v>970</v>
      </c>
      <c r="I34" s="3">
        <f t="shared" si="9"/>
        <v>10000</v>
      </c>
      <c r="J34" s="4">
        <f t="shared" si="10"/>
        <v>-4.2857142857142856</v>
      </c>
      <c r="K34" s="20">
        <f t="shared" si="11"/>
        <v>-0.03</v>
      </c>
      <c r="L34" s="5" t="str">
        <f>IFERROR(HLOOKUP(M34,$3:$4,2,0),"")</f>
        <v/>
      </c>
      <c r="M34" s="5" t="str">
        <f>IFERROR(HLOOKUP(D34,$8:$9,2,0),"")</f>
        <v/>
      </c>
      <c r="N34" t="str">
        <f>IFERROR(HLOOKUP(M34,$9:$11,3,0),"")</f>
        <v/>
      </c>
      <c r="O34" s="1" t="str">
        <f t="shared" si="5"/>
        <v/>
      </c>
      <c r="P34">
        <f t="shared" si="6"/>
        <v>0.6</v>
      </c>
    </row>
    <row r="35" spans="1:16" x14ac:dyDescent="0.25">
      <c r="A35" t="s">
        <v>7</v>
      </c>
      <c r="B35" s="15">
        <f t="shared" si="7"/>
        <v>0.1</v>
      </c>
      <c r="C35" s="6">
        <v>0.1</v>
      </c>
      <c r="D35" s="2">
        <f t="shared" si="8"/>
        <v>9680</v>
      </c>
      <c r="E35" s="2">
        <f t="shared" si="2"/>
        <v>-320</v>
      </c>
      <c r="F35" s="4">
        <v>142.85714285714286</v>
      </c>
      <c r="G35">
        <f t="shared" si="3"/>
        <v>7</v>
      </c>
      <c r="H35" s="4">
        <f t="shared" si="4"/>
        <v>968</v>
      </c>
      <c r="I35" s="3">
        <f t="shared" si="9"/>
        <v>10000</v>
      </c>
      <c r="J35" s="4">
        <f t="shared" si="10"/>
        <v>-4.5714285714285712</v>
      </c>
      <c r="K35" s="20">
        <f t="shared" si="11"/>
        <v>-3.2000000000000001E-2</v>
      </c>
      <c r="L35" s="5" t="str">
        <f>IFERROR(HLOOKUP(M35,$3:$4,2,0),"")</f>
        <v/>
      </c>
      <c r="M35" s="5" t="str">
        <f>IFERROR(HLOOKUP(D35,$8:$9,2,0),"")</f>
        <v/>
      </c>
      <c r="N35" t="str">
        <f>IFERROR(HLOOKUP(M35,$9:$11,3,0),"")</f>
        <v/>
      </c>
      <c r="O35" s="1" t="str">
        <f t="shared" si="5"/>
        <v/>
      </c>
      <c r="P35">
        <f t="shared" si="6"/>
        <v>0.6</v>
      </c>
    </row>
    <row r="36" spans="1:16" x14ac:dyDescent="0.25">
      <c r="A36" t="s">
        <v>7</v>
      </c>
      <c r="B36" s="15">
        <f t="shared" si="7"/>
        <v>0.1</v>
      </c>
      <c r="C36" s="6">
        <v>0.1</v>
      </c>
      <c r="D36" s="2">
        <f t="shared" si="8"/>
        <v>9660</v>
      </c>
      <c r="E36" s="2">
        <f t="shared" si="2"/>
        <v>-340</v>
      </c>
      <c r="F36" s="4">
        <v>142.85714285714286</v>
      </c>
      <c r="G36">
        <f t="shared" si="3"/>
        <v>7</v>
      </c>
      <c r="H36" s="4">
        <f t="shared" si="4"/>
        <v>966</v>
      </c>
      <c r="I36" s="3">
        <f t="shared" si="9"/>
        <v>10000</v>
      </c>
      <c r="J36" s="4">
        <f t="shared" si="10"/>
        <v>-4.8571428571428568</v>
      </c>
      <c r="K36" s="20">
        <f t="shared" si="11"/>
        <v>-3.3999999999999996E-2</v>
      </c>
      <c r="L36" s="5" t="str">
        <f>IFERROR(HLOOKUP(M36,$3:$4,2,0),"")</f>
        <v/>
      </c>
      <c r="M36" s="5" t="str">
        <f>IFERROR(HLOOKUP(D36,$8:$9,2,0),"")</f>
        <v/>
      </c>
      <c r="N36" t="str">
        <f>IFERROR(HLOOKUP(M36,$9:$11,3,0),"")</f>
        <v/>
      </c>
      <c r="O36" s="1" t="str">
        <f t="shared" si="5"/>
        <v/>
      </c>
      <c r="P36">
        <f t="shared" si="6"/>
        <v>0.6</v>
      </c>
    </row>
    <row r="37" spans="1:16" x14ac:dyDescent="0.25">
      <c r="A37" t="s">
        <v>7</v>
      </c>
      <c r="B37" s="15">
        <f t="shared" si="7"/>
        <v>0.1</v>
      </c>
      <c r="C37" s="6">
        <v>0.1</v>
      </c>
      <c r="D37" s="2">
        <f t="shared" si="8"/>
        <v>9640</v>
      </c>
      <c r="E37" s="2">
        <f t="shared" si="2"/>
        <v>-360</v>
      </c>
      <c r="F37" s="4">
        <v>142.85714285714286</v>
      </c>
      <c r="G37">
        <f t="shared" si="3"/>
        <v>7</v>
      </c>
      <c r="H37" s="4">
        <f t="shared" si="4"/>
        <v>964</v>
      </c>
      <c r="I37" s="3">
        <f t="shared" si="9"/>
        <v>10000</v>
      </c>
      <c r="J37" s="4">
        <f t="shared" si="10"/>
        <v>-5.1428571428571432</v>
      </c>
      <c r="K37" s="20">
        <f t="shared" si="11"/>
        <v>-3.6000000000000004E-2</v>
      </c>
      <c r="L37" s="5" t="str">
        <f>IFERROR(HLOOKUP(M37,$3:$4,2,0),"")</f>
        <v/>
      </c>
      <c r="M37" s="5" t="str">
        <f>IFERROR(HLOOKUP(D37,$8:$9,2,0),"")</f>
        <v/>
      </c>
      <c r="N37" t="str">
        <f>IFERROR(HLOOKUP(M37,$9:$11,3,0),"")</f>
        <v/>
      </c>
      <c r="O37" s="1" t="str">
        <f t="shared" si="5"/>
        <v/>
      </c>
      <c r="P37">
        <f t="shared" si="6"/>
        <v>0.6</v>
      </c>
    </row>
    <row r="38" spans="1:16" x14ac:dyDescent="0.25">
      <c r="A38" t="s">
        <v>7</v>
      </c>
      <c r="B38" s="15">
        <f t="shared" si="7"/>
        <v>0.1</v>
      </c>
      <c r="C38" s="6">
        <v>0.1</v>
      </c>
      <c r="D38" s="2">
        <f t="shared" si="8"/>
        <v>9620</v>
      </c>
      <c r="E38" s="2">
        <f t="shared" si="2"/>
        <v>-380</v>
      </c>
      <c r="F38" s="4">
        <v>142.85714285714286</v>
      </c>
      <c r="G38">
        <f t="shared" si="3"/>
        <v>7</v>
      </c>
      <c r="H38" s="4">
        <f t="shared" si="4"/>
        <v>962</v>
      </c>
      <c r="I38" s="3">
        <f t="shared" si="9"/>
        <v>10000</v>
      </c>
      <c r="J38" s="4">
        <f>(D38-I38)*C38/G38</f>
        <v>-5.4285714285714288</v>
      </c>
      <c r="K38" s="20">
        <f t="shared" si="11"/>
        <v>-3.7999999999999999E-2</v>
      </c>
      <c r="L38" s="5" t="str">
        <f>IFERROR(HLOOKUP(M38,$3:$4,2,0),"")</f>
        <v/>
      </c>
      <c r="M38" s="5" t="str">
        <f>IFERROR(HLOOKUP(D38,$8:$9,2,0),"")</f>
        <v/>
      </c>
      <c r="N38" t="str">
        <f>IFERROR(HLOOKUP(M38,$9:$11,3,0),"")</f>
        <v/>
      </c>
      <c r="O38" s="1" t="str">
        <f t="shared" si="5"/>
        <v/>
      </c>
      <c r="P38">
        <f t="shared" si="6"/>
        <v>0.6</v>
      </c>
    </row>
    <row r="39" spans="1:16" x14ac:dyDescent="0.25">
      <c r="A39" t="s">
        <v>7</v>
      </c>
      <c r="B39" s="15">
        <f t="shared" si="7"/>
        <v>0.1</v>
      </c>
      <c r="C39" s="6">
        <v>0.1</v>
      </c>
      <c r="D39" s="2">
        <f t="shared" si="8"/>
        <v>9600</v>
      </c>
      <c r="E39" s="2">
        <f t="shared" si="2"/>
        <v>-400</v>
      </c>
      <c r="F39" s="4">
        <v>142.85714285714286</v>
      </c>
      <c r="G39">
        <f t="shared" si="3"/>
        <v>7</v>
      </c>
      <c r="H39" s="4">
        <f t="shared" si="4"/>
        <v>960</v>
      </c>
      <c r="I39" s="3">
        <f t="shared" si="9"/>
        <v>10000</v>
      </c>
      <c r="J39" s="4">
        <f t="shared" si="10"/>
        <v>-5.7142857142857144</v>
      </c>
      <c r="K39" s="20">
        <f t="shared" si="11"/>
        <v>-0.04</v>
      </c>
      <c r="L39" s="5" t="str">
        <f>IFERROR(HLOOKUP(M39,$3:$4,2,0),"")</f>
        <v/>
      </c>
      <c r="M39" s="5" t="str">
        <f>IFERROR(HLOOKUP(D39,$8:$9,2,0),"")</f>
        <v/>
      </c>
      <c r="N39" t="str">
        <f>IFERROR(HLOOKUP(M39,$9:$11,3,0),"")</f>
        <v/>
      </c>
      <c r="O39" s="1" t="str">
        <f t="shared" si="5"/>
        <v/>
      </c>
      <c r="P39">
        <f t="shared" si="6"/>
        <v>0.6</v>
      </c>
    </row>
    <row r="40" spans="1:16" x14ac:dyDescent="0.25">
      <c r="A40" t="s">
        <v>7</v>
      </c>
      <c r="B40" s="15">
        <f t="shared" si="7"/>
        <v>0.1</v>
      </c>
      <c r="C40" s="6">
        <f>IF(M40&lt;&gt;"",B40*O40+C39,C39)</f>
        <v>0.16</v>
      </c>
      <c r="D40" s="2">
        <f t="shared" si="8"/>
        <v>9580</v>
      </c>
      <c r="E40" s="2">
        <f t="shared" si="2"/>
        <v>-420</v>
      </c>
      <c r="F40" s="4">
        <f>IF(M40&lt;&gt;"",F39+(C40-C39)*D40/G40,F39)</f>
        <v>224.97142857142859</v>
      </c>
      <c r="G40">
        <f t="shared" si="3"/>
        <v>7</v>
      </c>
      <c r="H40" s="4">
        <f t="shared" si="4"/>
        <v>1532.8</v>
      </c>
      <c r="I40" s="4">
        <f>(I39*C39+D40*(C40-C39))/C40</f>
        <v>9842.5</v>
      </c>
      <c r="J40" s="4">
        <f t="shared" si="10"/>
        <v>-6</v>
      </c>
      <c r="K40" s="20">
        <f t="shared" si="11"/>
        <v>-2.6670053340106678E-2</v>
      </c>
      <c r="L40" s="5">
        <f>IFERROR(HLOOKUP(M40,$3:$4,2,0),"")</f>
        <v>21</v>
      </c>
      <c r="M40" s="5" t="str">
        <f>IFERROR(HLOOKUP(D40,$8:$9,2,0),"")</f>
        <v>Step1</v>
      </c>
      <c r="N40">
        <f>IFERROR(HLOOKUP(M40,$9:$11,3,0),"")</f>
        <v>1</v>
      </c>
      <c r="O40" s="1">
        <f t="shared" si="5"/>
        <v>0.6</v>
      </c>
      <c r="P40">
        <f t="shared" si="6"/>
        <v>0.6</v>
      </c>
    </row>
    <row r="41" spans="1:16" x14ac:dyDescent="0.25">
      <c r="A41" t="s">
        <v>7</v>
      </c>
      <c r="B41" s="15">
        <f t="shared" si="7"/>
        <v>0.1</v>
      </c>
      <c r="C41" s="6">
        <f>IF(M41&lt;&gt;"",B41*O41+C40,C40)</f>
        <v>0.16</v>
      </c>
      <c r="D41" s="2">
        <f t="shared" si="8"/>
        <v>9560</v>
      </c>
      <c r="E41" s="2">
        <f t="shared" si="2"/>
        <v>-440</v>
      </c>
      <c r="F41" s="4">
        <f>IF(M41&lt;&gt;"",F40+(C41-C40)*D41/G41,F40)</f>
        <v>224.97142857142859</v>
      </c>
      <c r="G41">
        <f t="shared" si="3"/>
        <v>7</v>
      </c>
      <c r="H41" s="4">
        <f t="shared" si="4"/>
        <v>1529.6000000000001</v>
      </c>
      <c r="I41" s="4">
        <f t="shared" ref="I41:I104" si="12">(I40*C40+D41*(C41-C40))/C41</f>
        <v>9842.5</v>
      </c>
      <c r="J41" s="4">
        <f t="shared" si="10"/>
        <v>-6.4571428571428573</v>
      </c>
      <c r="K41" s="20">
        <f t="shared" si="11"/>
        <v>-2.8702057404114807E-2</v>
      </c>
      <c r="L41" s="5" t="str">
        <f>IFERROR(HLOOKUP(M41,$3:$4,2,0),"")</f>
        <v/>
      </c>
      <c r="M41" s="5" t="str">
        <f>IFERROR(HLOOKUP(D41,$8:$9,2,0),"")</f>
        <v/>
      </c>
      <c r="N41" t="str">
        <f>IFERROR(HLOOKUP(M41,$9:$11,3,0),"")</f>
        <v/>
      </c>
      <c r="O41" s="1" t="str">
        <f t="shared" si="5"/>
        <v/>
      </c>
      <c r="P41">
        <f t="shared" si="6"/>
        <v>0.6</v>
      </c>
    </row>
    <row r="42" spans="1:16" x14ac:dyDescent="0.25">
      <c r="A42" t="s">
        <v>7</v>
      </c>
      <c r="B42" s="15">
        <f t="shared" si="7"/>
        <v>0.1</v>
      </c>
      <c r="C42" s="6">
        <f>IF(M42&lt;&gt;"",B42*O42+C41,C41)</f>
        <v>0.16</v>
      </c>
      <c r="D42" s="2">
        <f t="shared" si="8"/>
        <v>9540</v>
      </c>
      <c r="E42" s="2">
        <f t="shared" si="2"/>
        <v>-460</v>
      </c>
      <c r="F42" s="4">
        <f>IF(M42&lt;&gt;"",F41+(C42-C41)*D42/G42,F41)</f>
        <v>224.97142857142859</v>
      </c>
      <c r="G42">
        <f t="shared" si="3"/>
        <v>7</v>
      </c>
      <c r="H42" s="4">
        <f t="shared" si="4"/>
        <v>1526.4</v>
      </c>
      <c r="I42" s="4">
        <f t="shared" si="12"/>
        <v>9842.5</v>
      </c>
      <c r="J42" s="4">
        <f t="shared" si="10"/>
        <v>-6.9142857142857137</v>
      </c>
      <c r="K42" s="20">
        <f t="shared" si="11"/>
        <v>-3.0734061468122933E-2</v>
      </c>
      <c r="L42" s="5" t="str">
        <f>IFERROR(HLOOKUP(M42,$3:$4,2,0),"")</f>
        <v/>
      </c>
      <c r="M42" s="5" t="str">
        <f>IFERROR(HLOOKUP(D42,$8:$9,2,0),"")</f>
        <v/>
      </c>
      <c r="N42" t="str">
        <f>IFERROR(HLOOKUP(M42,$9:$11,3,0),"")</f>
        <v/>
      </c>
      <c r="O42" s="1" t="str">
        <f t="shared" si="5"/>
        <v/>
      </c>
      <c r="P42">
        <f t="shared" si="6"/>
        <v>0.6</v>
      </c>
    </row>
    <row r="43" spans="1:16" x14ac:dyDescent="0.25">
      <c r="A43" t="s">
        <v>7</v>
      </c>
      <c r="B43" s="15">
        <f t="shared" si="7"/>
        <v>0.1</v>
      </c>
      <c r="C43" s="6">
        <f>IF(M43&lt;&gt;"",B43*O43+C42,C42)</f>
        <v>0.16</v>
      </c>
      <c r="D43" s="2">
        <f t="shared" si="8"/>
        <v>9520</v>
      </c>
      <c r="E43" s="2">
        <f t="shared" si="2"/>
        <v>-480</v>
      </c>
      <c r="F43" s="4">
        <f>IF(M43&lt;&gt;"",F42+(C43-C42)*D43/G43,F42)</f>
        <v>224.97142857142859</v>
      </c>
      <c r="G43">
        <f t="shared" si="3"/>
        <v>7</v>
      </c>
      <c r="H43" s="4">
        <f t="shared" si="4"/>
        <v>1523.2</v>
      </c>
      <c r="I43" s="4">
        <f t="shared" si="12"/>
        <v>9842.5</v>
      </c>
      <c r="J43" s="4">
        <f t="shared" si="10"/>
        <v>-7.3714285714285719</v>
      </c>
      <c r="K43" s="20">
        <f t="shared" si="11"/>
        <v>-3.2766065532131065E-2</v>
      </c>
      <c r="L43" s="5" t="str">
        <f>IFERROR(HLOOKUP(M43,$3:$4,2,0),"")</f>
        <v/>
      </c>
      <c r="M43" s="5" t="str">
        <f>IFERROR(HLOOKUP(D43,$8:$9,2,0),"")</f>
        <v/>
      </c>
      <c r="N43" t="str">
        <f>IFERROR(HLOOKUP(M43,$9:$11,3,0),"")</f>
        <v/>
      </c>
      <c r="O43" s="1" t="str">
        <f t="shared" si="5"/>
        <v/>
      </c>
      <c r="P43">
        <f t="shared" si="6"/>
        <v>0.6</v>
      </c>
    </row>
    <row r="44" spans="1:16" x14ac:dyDescent="0.25">
      <c r="A44" t="s">
        <v>7</v>
      </c>
      <c r="B44" s="15">
        <f t="shared" si="7"/>
        <v>0.1</v>
      </c>
      <c r="C44" s="6">
        <f>IF(M44&lt;&gt;"",B44*O44+C43,C43)</f>
        <v>0.16</v>
      </c>
      <c r="D44" s="2">
        <f t="shared" si="8"/>
        <v>9500</v>
      </c>
      <c r="E44" s="2">
        <f t="shared" si="2"/>
        <v>-500</v>
      </c>
      <c r="F44" s="4">
        <f>IF(M44&lt;&gt;"",F43+(C44-C43)*D44/G44,F43)</f>
        <v>224.97142857142859</v>
      </c>
      <c r="G44">
        <f t="shared" si="3"/>
        <v>7</v>
      </c>
      <c r="H44" s="4">
        <f t="shared" si="4"/>
        <v>1520</v>
      </c>
      <c r="I44" s="4">
        <f t="shared" si="12"/>
        <v>9842.5</v>
      </c>
      <c r="J44" s="4">
        <f t="shared" si="10"/>
        <v>-7.8285714285714292</v>
      </c>
      <c r="K44" s="20">
        <f t="shared" si="11"/>
        <v>-3.4798069596139194E-2</v>
      </c>
      <c r="L44" s="5" t="str">
        <f>IFERROR(HLOOKUP(M44,$3:$4,2,0),"")</f>
        <v/>
      </c>
      <c r="M44" s="5" t="str">
        <f>IFERROR(HLOOKUP(D44,$8:$9,2,0),"")</f>
        <v/>
      </c>
      <c r="N44" t="str">
        <f>IFERROR(HLOOKUP(M44,$9:$11,3,0),"")</f>
        <v/>
      </c>
      <c r="O44" s="1" t="str">
        <f t="shared" si="5"/>
        <v/>
      </c>
      <c r="P44">
        <f t="shared" si="6"/>
        <v>0.6</v>
      </c>
    </row>
    <row r="45" spans="1:16" x14ac:dyDescent="0.25">
      <c r="A45" t="s">
        <v>7</v>
      </c>
      <c r="B45" s="15">
        <f t="shared" si="7"/>
        <v>0.1</v>
      </c>
      <c r="C45" s="6">
        <f>IF(M45&lt;&gt;"",B45*O45+C44,C44)</f>
        <v>0.16</v>
      </c>
      <c r="D45" s="2">
        <f t="shared" si="8"/>
        <v>9480</v>
      </c>
      <c r="E45" s="2">
        <f t="shared" si="2"/>
        <v>-520</v>
      </c>
      <c r="F45" s="4">
        <f>IF(M45&lt;&gt;"",F44+(C45-C44)*D45/G45,F44)</f>
        <v>224.97142857142859</v>
      </c>
      <c r="G45">
        <f t="shared" si="3"/>
        <v>7</v>
      </c>
      <c r="H45" s="4">
        <f t="shared" ref="H45:H69" si="13">C45*D45</f>
        <v>1516.8</v>
      </c>
      <c r="I45" s="4">
        <f t="shared" si="12"/>
        <v>9842.5</v>
      </c>
      <c r="J45" s="4">
        <f t="shared" si="10"/>
        <v>-8.2857142857142865</v>
      </c>
      <c r="K45" s="20">
        <f t="shared" si="11"/>
        <v>-3.6830073660147324E-2</v>
      </c>
      <c r="L45" s="5" t="str">
        <f>IFERROR(HLOOKUP(M45,$3:$4,2,0),"")</f>
        <v/>
      </c>
      <c r="M45" s="5" t="str">
        <f>IFERROR(HLOOKUP(D45,$8:$9,2,0),"")</f>
        <v/>
      </c>
      <c r="N45" t="str">
        <f>IFERROR(HLOOKUP(M45,$9:$11,3,0),"")</f>
        <v/>
      </c>
      <c r="O45" s="1" t="str">
        <f t="shared" si="5"/>
        <v/>
      </c>
      <c r="P45">
        <f t="shared" si="6"/>
        <v>0.6</v>
      </c>
    </row>
    <row r="46" spans="1:16" x14ac:dyDescent="0.25">
      <c r="A46" t="s">
        <v>7</v>
      </c>
      <c r="B46" s="15">
        <f t="shared" si="7"/>
        <v>0.1</v>
      </c>
      <c r="C46" s="6">
        <f>IF(M46&lt;&gt;"",B46*O46+C45,C45)</f>
        <v>0.16</v>
      </c>
      <c r="D46" s="2">
        <f t="shared" si="8"/>
        <v>9460</v>
      </c>
      <c r="E46" s="2">
        <f t="shared" si="2"/>
        <v>-540</v>
      </c>
      <c r="F46" s="4">
        <f>IF(M46&lt;&gt;"",F45+(C46-C45)*D46/G46,F45)</f>
        <v>224.97142857142859</v>
      </c>
      <c r="G46">
        <f t="shared" si="3"/>
        <v>7</v>
      </c>
      <c r="H46" s="4">
        <f t="shared" si="13"/>
        <v>1513.6000000000001</v>
      </c>
      <c r="I46" s="4">
        <f t="shared" si="12"/>
        <v>9842.5</v>
      </c>
      <c r="J46" s="4">
        <f t="shared" si="10"/>
        <v>-8.7428571428571438</v>
      </c>
      <c r="K46" s="20">
        <f t="shared" si="11"/>
        <v>-3.8862077724155453E-2</v>
      </c>
      <c r="L46" s="5" t="str">
        <f>IFERROR(HLOOKUP(M46,$3:$4,2,0),"")</f>
        <v/>
      </c>
      <c r="M46" s="5" t="str">
        <f>IFERROR(HLOOKUP(D46,$8:$9,2,0),"")</f>
        <v/>
      </c>
      <c r="N46" t="str">
        <f>IFERROR(HLOOKUP(M46,$9:$11,3,0),"")</f>
        <v/>
      </c>
      <c r="O46" s="1" t="str">
        <f t="shared" si="5"/>
        <v/>
      </c>
      <c r="P46">
        <f t="shared" si="6"/>
        <v>0.6</v>
      </c>
    </row>
    <row r="47" spans="1:16" x14ac:dyDescent="0.25">
      <c r="A47" t="s">
        <v>7</v>
      </c>
      <c r="B47" s="15">
        <f t="shared" si="7"/>
        <v>0.1</v>
      </c>
      <c r="C47" s="6">
        <f>IF(M47&lt;&gt;"",B47*O47+C46,C46)</f>
        <v>0.16</v>
      </c>
      <c r="D47" s="2">
        <f t="shared" si="8"/>
        <v>9440</v>
      </c>
      <c r="E47" s="2">
        <f t="shared" si="2"/>
        <v>-560</v>
      </c>
      <c r="F47" s="4">
        <f>IF(M47&lt;&gt;"",F46+(C47-C46)*D47/G47,F46)</f>
        <v>224.97142857142859</v>
      </c>
      <c r="G47">
        <f t="shared" si="3"/>
        <v>7</v>
      </c>
      <c r="H47" s="4">
        <f t="shared" si="13"/>
        <v>1510.4</v>
      </c>
      <c r="I47" s="4">
        <f t="shared" si="12"/>
        <v>9842.5</v>
      </c>
      <c r="J47" s="4">
        <f t="shared" si="10"/>
        <v>-9.2000000000000011</v>
      </c>
      <c r="K47" s="20">
        <f t="shared" si="11"/>
        <v>-4.0894081788163575E-2</v>
      </c>
      <c r="L47" s="5" t="str">
        <f>IFERROR(HLOOKUP(M47,$3:$4,2,0),"")</f>
        <v/>
      </c>
      <c r="M47" s="5" t="str">
        <f>IFERROR(HLOOKUP(D47,$8:$9,2,0),"")</f>
        <v/>
      </c>
      <c r="N47" t="str">
        <f>IFERROR(HLOOKUP(M47,$9:$11,3,0),"")</f>
        <v/>
      </c>
      <c r="O47" s="1" t="str">
        <f t="shared" si="5"/>
        <v/>
      </c>
      <c r="P47">
        <f t="shared" si="6"/>
        <v>0.6</v>
      </c>
    </row>
    <row r="48" spans="1:16" x14ac:dyDescent="0.25">
      <c r="A48" t="s">
        <v>7</v>
      </c>
      <c r="B48" s="15">
        <f t="shared" si="7"/>
        <v>0.1</v>
      </c>
      <c r="C48" s="6">
        <f>IF(M48&lt;&gt;"",B48*O48+C47,C47)</f>
        <v>0.16</v>
      </c>
      <c r="D48" s="2">
        <f t="shared" si="8"/>
        <v>9420</v>
      </c>
      <c r="E48" s="2">
        <f t="shared" si="2"/>
        <v>-580</v>
      </c>
      <c r="F48" s="4">
        <f>IF(M48&lt;&gt;"",F47+(C48-C47)*D48/G48,F47)</f>
        <v>224.97142857142859</v>
      </c>
      <c r="G48">
        <f t="shared" si="3"/>
        <v>7</v>
      </c>
      <c r="H48" s="4">
        <f t="shared" si="13"/>
        <v>1507.2</v>
      </c>
      <c r="I48" s="4">
        <f t="shared" si="12"/>
        <v>9842.5</v>
      </c>
      <c r="J48" s="4">
        <f t="shared" si="10"/>
        <v>-9.6571428571428566</v>
      </c>
      <c r="K48" s="20">
        <f t="shared" si="11"/>
        <v>-4.2926085852171697E-2</v>
      </c>
      <c r="L48" s="5" t="str">
        <f>IFERROR(HLOOKUP(M48,$3:$4,2,0),"")</f>
        <v/>
      </c>
      <c r="M48" s="5" t="str">
        <f>IFERROR(HLOOKUP(D48,$8:$9,2,0),"")</f>
        <v/>
      </c>
      <c r="N48" t="str">
        <f>IFERROR(HLOOKUP(M48,$9:$11,3,0),"")</f>
        <v/>
      </c>
      <c r="O48" s="1" t="str">
        <f t="shared" si="5"/>
        <v/>
      </c>
      <c r="P48">
        <f t="shared" si="6"/>
        <v>0.6</v>
      </c>
    </row>
    <row r="49" spans="1:16" x14ac:dyDescent="0.25">
      <c r="A49" t="s">
        <v>7</v>
      </c>
      <c r="B49" s="15">
        <f t="shared" si="7"/>
        <v>0.1</v>
      </c>
      <c r="C49" s="6">
        <f>IF(M49&lt;&gt;"",B49*O49+C48,C48)</f>
        <v>0.16</v>
      </c>
      <c r="D49" s="2">
        <f t="shared" si="8"/>
        <v>9400</v>
      </c>
      <c r="E49" s="2">
        <f t="shared" si="2"/>
        <v>-600</v>
      </c>
      <c r="F49" s="4">
        <f>IF(M49&lt;&gt;"",F48+(C49-C48)*D49/G49,F48)</f>
        <v>224.97142857142859</v>
      </c>
      <c r="G49">
        <f t="shared" si="3"/>
        <v>7</v>
      </c>
      <c r="H49" s="4">
        <f t="shared" si="13"/>
        <v>1504</v>
      </c>
      <c r="I49" s="4">
        <f t="shared" si="12"/>
        <v>9842.5</v>
      </c>
      <c r="J49" s="4">
        <f>(D49-I49)*C49/G49</f>
        <v>-10.114285714285714</v>
      </c>
      <c r="K49" s="20">
        <f t="shared" si="11"/>
        <v>-4.4958089916179826E-2</v>
      </c>
      <c r="L49" s="5" t="str">
        <f>IFERROR(HLOOKUP(M49,$3:$4,2,0),"")</f>
        <v/>
      </c>
      <c r="M49" s="5" t="str">
        <f>IFERROR(HLOOKUP(D49,$8:$9,2,0),"")</f>
        <v/>
      </c>
      <c r="N49" t="str">
        <f>IFERROR(HLOOKUP(M49,$9:$11,3,0),"")</f>
        <v/>
      </c>
      <c r="O49" s="1" t="str">
        <f t="shared" si="5"/>
        <v/>
      </c>
      <c r="P49">
        <f t="shared" si="6"/>
        <v>0.6</v>
      </c>
    </row>
    <row r="50" spans="1:16" x14ac:dyDescent="0.25">
      <c r="A50" t="s">
        <v>7</v>
      </c>
      <c r="B50" s="15">
        <f t="shared" si="7"/>
        <v>0.1</v>
      </c>
      <c r="C50" s="6">
        <f>IF(M50&lt;&gt;"",B50*O50+C49,C49)</f>
        <v>0.16</v>
      </c>
      <c r="D50" s="2">
        <f t="shared" si="8"/>
        <v>9380</v>
      </c>
      <c r="E50" s="2">
        <f t="shared" si="2"/>
        <v>-620</v>
      </c>
      <c r="F50" s="4">
        <f>IF(M50&lt;&gt;"",F49+(C50-C49)*D50/G50,F49)</f>
        <v>224.97142857142859</v>
      </c>
      <c r="G50">
        <f t="shared" si="3"/>
        <v>7</v>
      </c>
      <c r="H50" s="4">
        <f t="shared" si="13"/>
        <v>1500.8</v>
      </c>
      <c r="I50" s="4">
        <f t="shared" si="12"/>
        <v>9842.5</v>
      </c>
      <c r="J50" s="4">
        <f t="shared" si="10"/>
        <v>-10.571428571428571</v>
      </c>
      <c r="K50" s="20">
        <f t="shared" si="11"/>
        <v>-4.6990093980187955E-2</v>
      </c>
      <c r="L50" s="5" t="str">
        <f>IFERROR(HLOOKUP(M50,$3:$4,2,0),"")</f>
        <v/>
      </c>
      <c r="M50" s="5" t="str">
        <f>IFERROR(HLOOKUP(D50,$8:$9,2,0),"")</f>
        <v/>
      </c>
      <c r="N50" t="str">
        <f>IFERROR(HLOOKUP(M50,$9:$11,3,0),"")</f>
        <v/>
      </c>
      <c r="O50" s="1" t="str">
        <f t="shared" si="5"/>
        <v/>
      </c>
      <c r="P50">
        <f t="shared" si="6"/>
        <v>0.6</v>
      </c>
    </row>
    <row r="51" spans="1:16" x14ac:dyDescent="0.25">
      <c r="A51" t="s">
        <v>7</v>
      </c>
      <c r="B51" s="15">
        <f t="shared" si="7"/>
        <v>0.1</v>
      </c>
      <c r="C51" s="6">
        <f>IF(M51&lt;&gt;"",B51*O51+C50,C50)</f>
        <v>0.16</v>
      </c>
      <c r="D51" s="2">
        <f t="shared" si="8"/>
        <v>9360</v>
      </c>
      <c r="E51" s="2">
        <f t="shared" si="2"/>
        <v>-640</v>
      </c>
      <c r="F51" s="4">
        <f>IF(M51&lt;&gt;"",F50+(C51-C50)*D51/G51,F50)</f>
        <v>224.97142857142859</v>
      </c>
      <c r="G51">
        <f t="shared" si="3"/>
        <v>7</v>
      </c>
      <c r="H51" s="4">
        <f t="shared" si="13"/>
        <v>1497.6000000000001</v>
      </c>
      <c r="I51" s="4">
        <f t="shared" si="12"/>
        <v>9842.5</v>
      </c>
      <c r="J51" s="4">
        <f t="shared" si="10"/>
        <v>-11.028571428571428</v>
      </c>
      <c r="K51" s="20">
        <f t="shared" si="11"/>
        <v>-4.9022098044196084E-2</v>
      </c>
      <c r="L51" s="5" t="str">
        <f>IFERROR(HLOOKUP(M51,$3:$4,2,0),"")</f>
        <v/>
      </c>
      <c r="M51" s="5" t="str">
        <f>IFERROR(HLOOKUP(D51,$8:$9,2,0),"")</f>
        <v/>
      </c>
      <c r="N51" t="str">
        <f>IFERROR(HLOOKUP(M51,$9:$11,3,0),"")</f>
        <v/>
      </c>
      <c r="O51" s="1" t="str">
        <f t="shared" si="5"/>
        <v/>
      </c>
      <c r="P51">
        <f t="shared" si="6"/>
        <v>0.6</v>
      </c>
    </row>
    <row r="52" spans="1:16" x14ac:dyDescent="0.25">
      <c r="A52" t="s">
        <v>7</v>
      </c>
      <c r="B52" s="15">
        <f t="shared" si="7"/>
        <v>0.1</v>
      </c>
      <c r="C52" s="6">
        <f>IF(M52&lt;&gt;"",B52*O52+C51,C51)</f>
        <v>0.16</v>
      </c>
      <c r="D52" s="2">
        <f t="shared" si="8"/>
        <v>9340</v>
      </c>
      <c r="E52" s="2">
        <f t="shared" si="2"/>
        <v>-660</v>
      </c>
      <c r="F52" s="4">
        <f>IF(M52&lt;&gt;"",F51+(C52-C51)*D52/G52,F51)</f>
        <v>224.97142857142859</v>
      </c>
      <c r="G52">
        <f t="shared" si="3"/>
        <v>7</v>
      </c>
      <c r="H52" s="4">
        <f t="shared" si="13"/>
        <v>1494.4</v>
      </c>
      <c r="I52" s="4">
        <f t="shared" si="12"/>
        <v>9842.5</v>
      </c>
      <c r="J52" s="4">
        <f t="shared" si="10"/>
        <v>-11.485714285714286</v>
      </c>
      <c r="K52" s="20">
        <f t="shared" si="11"/>
        <v>-5.1054102108204213E-2</v>
      </c>
      <c r="L52" s="5" t="str">
        <f>IFERROR(HLOOKUP(M52,$3:$4,2,0),"")</f>
        <v/>
      </c>
      <c r="M52" s="5" t="str">
        <f>IFERROR(HLOOKUP(D52,$8:$9,2,0),"")</f>
        <v/>
      </c>
      <c r="N52" t="str">
        <f>IFERROR(HLOOKUP(M52,$9:$11,3,0),"")</f>
        <v/>
      </c>
      <c r="O52" s="1" t="str">
        <f t="shared" si="5"/>
        <v/>
      </c>
      <c r="P52">
        <f t="shared" si="6"/>
        <v>0.6</v>
      </c>
    </row>
    <row r="53" spans="1:16" x14ac:dyDescent="0.25">
      <c r="A53" t="s">
        <v>7</v>
      </c>
      <c r="B53" s="15">
        <f t="shared" si="7"/>
        <v>0.1</v>
      </c>
      <c r="C53" s="6">
        <f>IF(M53&lt;&gt;"",B53*O53+C52,C52)</f>
        <v>0.22</v>
      </c>
      <c r="D53" s="2">
        <f t="shared" si="8"/>
        <v>9320</v>
      </c>
      <c r="E53" s="2">
        <f t="shared" si="2"/>
        <v>-680</v>
      </c>
      <c r="F53" s="4">
        <f>IF(M53&lt;&gt;"",F52+(C53-C52)*D53/G53,F52)</f>
        <v>304.85714285714289</v>
      </c>
      <c r="G53">
        <f t="shared" si="3"/>
        <v>7</v>
      </c>
      <c r="H53" s="4">
        <f t="shared" si="13"/>
        <v>2050.4</v>
      </c>
      <c r="I53" s="4">
        <f t="shared" si="12"/>
        <v>9700</v>
      </c>
      <c r="J53" s="4">
        <f t="shared" si="10"/>
        <v>-11.942857142857141</v>
      </c>
      <c r="K53" s="20">
        <f t="shared" si="11"/>
        <v>-3.9175257731958756E-2</v>
      </c>
      <c r="L53" s="5">
        <f>IFERROR(HLOOKUP(M53,$3:$4,2,0),"")</f>
        <v>13</v>
      </c>
      <c r="M53" s="5" t="str">
        <f>IFERROR(HLOOKUP(D53,$8:$9,2,0),"")</f>
        <v>Step2</v>
      </c>
      <c r="N53">
        <f>IFERROR(HLOOKUP(M53,$9:$11,3,0),"")</f>
        <v>1</v>
      </c>
      <c r="O53" s="1">
        <f t="shared" si="5"/>
        <v>0.6</v>
      </c>
      <c r="P53">
        <f t="shared" si="6"/>
        <v>0.6</v>
      </c>
    </row>
    <row r="54" spans="1:16" x14ac:dyDescent="0.25">
      <c r="A54" t="s">
        <v>7</v>
      </c>
      <c r="B54" s="15">
        <f t="shared" si="7"/>
        <v>0.1</v>
      </c>
      <c r="C54" s="6">
        <f>IF(M54&lt;&gt;"",B54*O54+C53,C53)</f>
        <v>0.22</v>
      </c>
      <c r="D54" s="2">
        <f t="shared" si="8"/>
        <v>9300</v>
      </c>
      <c r="E54" s="2">
        <f t="shared" si="2"/>
        <v>-700</v>
      </c>
      <c r="F54" s="4">
        <f>IF(M54&lt;&gt;"",F53+(C54-C53)*D54/G54,F53)</f>
        <v>304.85714285714289</v>
      </c>
      <c r="G54">
        <f t="shared" si="3"/>
        <v>7</v>
      </c>
      <c r="H54" s="4">
        <f t="shared" si="13"/>
        <v>2046</v>
      </c>
      <c r="I54" s="4">
        <f t="shared" si="12"/>
        <v>9700</v>
      </c>
      <c r="J54" s="4">
        <f t="shared" si="10"/>
        <v>-12.571428571428571</v>
      </c>
      <c r="K54" s="20">
        <f t="shared" si="11"/>
        <v>-4.1237113402061848E-2</v>
      </c>
      <c r="L54" s="5" t="str">
        <f>IFERROR(HLOOKUP(M54,$3:$4,2,0),"")</f>
        <v/>
      </c>
      <c r="M54" s="5" t="str">
        <f>IFERROR(HLOOKUP(D54,$8:$9,2,0),"")</f>
        <v/>
      </c>
      <c r="N54" t="str">
        <f>IFERROR(HLOOKUP(M54,$9:$11,3,0),"")</f>
        <v/>
      </c>
      <c r="O54" s="1" t="str">
        <f t="shared" si="5"/>
        <v/>
      </c>
      <c r="P54">
        <f t="shared" si="6"/>
        <v>0.6</v>
      </c>
    </row>
    <row r="55" spans="1:16" x14ac:dyDescent="0.25">
      <c r="A55" t="s">
        <v>7</v>
      </c>
      <c r="B55" s="15">
        <f t="shared" si="7"/>
        <v>0.1</v>
      </c>
      <c r="C55" s="6">
        <f>IF(M55&lt;&gt;"",B55*O55+C54,C54)</f>
        <v>0.22</v>
      </c>
      <c r="D55" s="2">
        <f t="shared" si="8"/>
        <v>9280</v>
      </c>
      <c r="E55" s="2">
        <f t="shared" si="2"/>
        <v>-720</v>
      </c>
      <c r="F55" s="4">
        <f>IF(M55&lt;&gt;"",F54+(C55-C54)*D55/G55,F54)</f>
        <v>304.85714285714289</v>
      </c>
      <c r="G55">
        <f t="shared" si="3"/>
        <v>7</v>
      </c>
      <c r="H55" s="4">
        <f t="shared" si="13"/>
        <v>2041.6</v>
      </c>
      <c r="I55" s="4">
        <f t="shared" si="12"/>
        <v>9700</v>
      </c>
      <c r="J55" s="4">
        <f t="shared" si="10"/>
        <v>-13.200000000000001</v>
      </c>
      <c r="K55" s="20">
        <f t="shared" si="11"/>
        <v>-4.3298969072164947E-2</v>
      </c>
      <c r="L55" s="5" t="str">
        <f>IFERROR(HLOOKUP(M55,$3:$4,2,0),"")</f>
        <v/>
      </c>
      <c r="M55" s="5" t="str">
        <f>IFERROR(HLOOKUP(D55,$8:$9,2,0),"")</f>
        <v/>
      </c>
      <c r="N55" t="str">
        <f>IFERROR(HLOOKUP(M55,$9:$11,3,0),"")</f>
        <v/>
      </c>
      <c r="O55" s="1" t="str">
        <f t="shared" si="5"/>
        <v/>
      </c>
      <c r="P55">
        <f t="shared" si="6"/>
        <v>0.6</v>
      </c>
    </row>
    <row r="56" spans="1:16" x14ac:dyDescent="0.25">
      <c r="A56" t="s">
        <v>7</v>
      </c>
      <c r="B56" s="15">
        <f t="shared" si="7"/>
        <v>0.1</v>
      </c>
      <c r="C56" s="6">
        <f>IF(M56&lt;&gt;"",B56*O56+C55,C55)</f>
        <v>0.22</v>
      </c>
      <c r="D56" s="2">
        <f t="shared" si="8"/>
        <v>9260</v>
      </c>
      <c r="E56" s="2">
        <f t="shared" si="2"/>
        <v>-740</v>
      </c>
      <c r="F56" s="4">
        <f>IF(M56&lt;&gt;"",F55+(C56-C55)*D56/G56,F55)</f>
        <v>304.85714285714289</v>
      </c>
      <c r="G56">
        <f t="shared" si="3"/>
        <v>7</v>
      </c>
      <c r="H56" s="4">
        <f t="shared" si="13"/>
        <v>2037.2</v>
      </c>
      <c r="I56" s="4">
        <f t="shared" si="12"/>
        <v>9700</v>
      </c>
      <c r="J56" s="4">
        <f t="shared" si="10"/>
        <v>-13.828571428571427</v>
      </c>
      <c r="K56" s="20">
        <f t="shared" si="11"/>
        <v>-4.5360824742268033E-2</v>
      </c>
      <c r="L56" s="5" t="str">
        <f>IFERROR(HLOOKUP(M56,$3:$4,2,0),"")</f>
        <v/>
      </c>
      <c r="M56" s="5" t="str">
        <f>IFERROR(HLOOKUP(D56,$8:$9,2,0),"")</f>
        <v/>
      </c>
      <c r="N56" t="str">
        <f>IFERROR(HLOOKUP(M56,$9:$11,3,0),"")</f>
        <v/>
      </c>
      <c r="O56" s="1" t="str">
        <f t="shared" si="5"/>
        <v/>
      </c>
      <c r="P56">
        <f t="shared" si="6"/>
        <v>0.6</v>
      </c>
    </row>
    <row r="57" spans="1:16" x14ac:dyDescent="0.25">
      <c r="A57" t="s">
        <v>7</v>
      </c>
      <c r="B57" s="15">
        <f t="shared" si="7"/>
        <v>0.1</v>
      </c>
      <c r="C57" s="6">
        <f>IF(M57&lt;&gt;"",B57*O57+C56,C56)</f>
        <v>0.22</v>
      </c>
      <c r="D57" s="2">
        <f t="shared" si="8"/>
        <v>9240</v>
      </c>
      <c r="E57" s="2">
        <f t="shared" si="2"/>
        <v>-760</v>
      </c>
      <c r="F57" s="4">
        <f>IF(M57&lt;&gt;"",F56+(C57-C56)*D57/G57,F56)</f>
        <v>304.85714285714289</v>
      </c>
      <c r="G57">
        <f t="shared" si="3"/>
        <v>7</v>
      </c>
      <c r="H57" s="4">
        <f t="shared" si="13"/>
        <v>2032.8</v>
      </c>
      <c r="I57" s="4">
        <f>(I56*C56+D57*(C57-C56))/C57</f>
        <v>9700</v>
      </c>
      <c r="J57" s="4">
        <f t="shared" si="10"/>
        <v>-14.457142857142857</v>
      </c>
      <c r="K57" s="20">
        <f t="shared" si="11"/>
        <v>-4.7422680412371132E-2</v>
      </c>
      <c r="L57" s="5" t="str">
        <f>IFERROR(HLOOKUP(M57,$3:$4,2,0),"")</f>
        <v/>
      </c>
      <c r="M57" s="5" t="str">
        <f>IFERROR(HLOOKUP(D57,$8:$9,2,0),"")</f>
        <v/>
      </c>
      <c r="N57" t="str">
        <f>IFERROR(HLOOKUP(M57,$9:$11,3,0),"")</f>
        <v/>
      </c>
      <c r="O57" s="1" t="str">
        <f t="shared" si="5"/>
        <v/>
      </c>
      <c r="P57">
        <f t="shared" si="6"/>
        <v>0.6</v>
      </c>
    </row>
    <row r="58" spans="1:16" x14ac:dyDescent="0.25">
      <c r="A58" t="s">
        <v>7</v>
      </c>
      <c r="B58" s="15">
        <f t="shared" si="7"/>
        <v>0.1</v>
      </c>
      <c r="C58" s="6">
        <f>IF(M58&lt;&gt;"",B58*O58+C57,C57)</f>
        <v>0.22</v>
      </c>
      <c r="D58" s="2">
        <f t="shared" si="8"/>
        <v>9220</v>
      </c>
      <c r="E58" s="2">
        <f t="shared" si="2"/>
        <v>-780</v>
      </c>
      <c r="F58" s="4">
        <f>IF(M58&lt;&gt;"",F57+(C58-C57)*D58/G58,F57)</f>
        <v>304.85714285714289</v>
      </c>
      <c r="G58">
        <f t="shared" si="3"/>
        <v>7</v>
      </c>
      <c r="H58" s="4">
        <f t="shared" si="13"/>
        <v>2028.4</v>
      </c>
      <c r="I58" s="4">
        <f t="shared" si="12"/>
        <v>9700</v>
      </c>
      <c r="J58" s="4">
        <f t="shared" si="10"/>
        <v>-15.085714285714285</v>
      </c>
      <c r="K58" s="20">
        <f t="shared" si="11"/>
        <v>-4.9484536082474218E-2</v>
      </c>
      <c r="L58" s="5" t="str">
        <f>IFERROR(HLOOKUP(M58,$3:$4,2,0),"")</f>
        <v/>
      </c>
      <c r="M58" s="5" t="str">
        <f>IFERROR(HLOOKUP(D58,$8:$9,2,0),"")</f>
        <v/>
      </c>
      <c r="N58" t="str">
        <f>IFERROR(HLOOKUP(M58,$9:$11,3,0),"")</f>
        <v/>
      </c>
      <c r="O58" s="1" t="str">
        <f t="shared" si="5"/>
        <v/>
      </c>
      <c r="P58">
        <f t="shared" si="6"/>
        <v>0.6</v>
      </c>
    </row>
    <row r="59" spans="1:16" x14ac:dyDescent="0.25">
      <c r="A59" t="s">
        <v>7</v>
      </c>
      <c r="B59" s="15">
        <f t="shared" si="7"/>
        <v>0.1</v>
      </c>
      <c r="C59" s="6">
        <f>IF(M59&lt;&gt;"",B59*O59+C58,C58)</f>
        <v>0.22</v>
      </c>
      <c r="D59" s="2">
        <f t="shared" si="8"/>
        <v>9200</v>
      </c>
      <c r="E59" s="2">
        <f t="shared" si="2"/>
        <v>-800</v>
      </c>
      <c r="F59" s="4">
        <f>IF(M59&lt;&gt;"",F58+(C59-C58)*D59/G59,F58)</f>
        <v>304.85714285714289</v>
      </c>
      <c r="G59">
        <f t="shared" si="3"/>
        <v>7</v>
      </c>
      <c r="H59" s="4">
        <f t="shared" si="13"/>
        <v>2024</v>
      </c>
      <c r="I59" s="4">
        <f t="shared" si="12"/>
        <v>9700</v>
      </c>
      <c r="J59" s="4">
        <f t="shared" si="10"/>
        <v>-15.714285714285714</v>
      </c>
      <c r="K59" s="20">
        <f t="shared" si="11"/>
        <v>-5.154639175257731E-2</v>
      </c>
      <c r="L59" s="5" t="str">
        <f>IFERROR(HLOOKUP(M59,$3:$4,2,0),"")</f>
        <v/>
      </c>
      <c r="M59" s="5" t="str">
        <f>IFERROR(HLOOKUP(D59,$8:$9,2,0),"")</f>
        <v/>
      </c>
      <c r="N59" t="str">
        <f>IFERROR(HLOOKUP(M59,$9:$11,3,0),"")</f>
        <v/>
      </c>
      <c r="O59" s="1" t="str">
        <f t="shared" si="5"/>
        <v/>
      </c>
      <c r="P59">
        <f t="shared" si="6"/>
        <v>0.6</v>
      </c>
    </row>
    <row r="60" spans="1:16" x14ac:dyDescent="0.25">
      <c r="A60" t="s">
        <v>7</v>
      </c>
      <c r="B60" s="15">
        <f t="shared" si="7"/>
        <v>0.1</v>
      </c>
      <c r="C60" s="6">
        <f>IF(M60&lt;&gt;"",B60*O60+C59,C59)</f>
        <v>0.22</v>
      </c>
      <c r="D60" s="2">
        <f t="shared" si="8"/>
        <v>9180</v>
      </c>
      <c r="E60" s="2">
        <f t="shared" si="2"/>
        <v>-820</v>
      </c>
      <c r="F60" s="4">
        <f>IF(M60&lt;&gt;"",F59+(C60-C59)*D60/G60,F59)</f>
        <v>304.85714285714289</v>
      </c>
      <c r="G60">
        <f t="shared" si="3"/>
        <v>7</v>
      </c>
      <c r="H60" s="4">
        <f t="shared" si="13"/>
        <v>2019.6</v>
      </c>
      <c r="I60" s="4">
        <f t="shared" si="12"/>
        <v>9700</v>
      </c>
      <c r="J60" s="4">
        <f t="shared" si="10"/>
        <v>-16.342857142857145</v>
      </c>
      <c r="K60" s="20">
        <f t="shared" si="11"/>
        <v>-5.3608247422680416E-2</v>
      </c>
      <c r="L60" s="5" t="str">
        <f>IFERROR(HLOOKUP(M60,$3:$4,2,0),"")</f>
        <v/>
      </c>
      <c r="M60" s="5" t="str">
        <f>IFERROR(HLOOKUP(D60,$8:$9,2,0),"")</f>
        <v/>
      </c>
      <c r="N60" t="str">
        <f>IFERROR(HLOOKUP(M60,$9:$11,3,0),"")</f>
        <v/>
      </c>
      <c r="O60" s="1" t="str">
        <f t="shared" si="5"/>
        <v/>
      </c>
      <c r="P60">
        <f t="shared" si="6"/>
        <v>0.6</v>
      </c>
    </row>
    <row r="61" spans="1:16" x14ac:dyDescent="0.25">
      <c r="A61" t="s">
        <v>7</v>
      </c>
      <c r="B61" s="15">
        <f t="shared" si="7"/>
        <v>0.1</v>
      </c>
      <c r="C61" s="6">
        <f>IF(M61&lt;&gt;"",B61*O61+C60,C60)</f>
        <v>0.33999999999999997</v>
      </c>
      <c r="D61" s="2">
        <f t="shared" si="8"/>
        <v>9160</v>
      </c>
      <c r="E61" s="2">
        <f t="shared" si="2"/>
        <v>-840</v>
      </c>
      <c r="F61" s="4">
        <f>IF(M61&lt;&gt;"",F60+(C61-C60)*D61/G61,F60)</f>
        <v>461.8857142857143</v>
      </c>
      <c r="G61">
        <f t="shared" si="3"/>
        <v>7</v>
      </c>
      <c r="H61" s="4">
        <f t="shared" si="13"/>
        <v>3114.3999999999996</v>
      </c>
      <c r="I61" s="4">
        <f t="shared" si="12"/>
        <v>9509.4117647058829</v>
      </c>
      <c r="J61" s="4">
        <f t="shared" si="10"/>
        <v>-16.971428571428596</v>
      </c>
      <c r="K61" s="20">
        <f t="shared" si="11"/>
        <v>-3.6743783248793821E-2</v>
      </c>
      <c r="L61" s="5">
        <f>IFERROR(HLOOKUP(M61,$3:$4,2,0),"")</f>
        <v>8</v>
      </c>
      <c r="M61" s="5" t="str">
        <f>IFERROR(HLOOKUP(D61,$8:$9,2,0),"")</f>
        <v>Step3</v>
      </c>
      <c r="N61">
        <f>IFERROR(HLOOKUP(M61,$9:$11,3,0),"")</f>
        <v>2</v>
      </c>
      <c r="O61" s="1">
        <f t="shared" si="5"/>
        <v>1.2</v>
      </c>
      <c r="P61">
        <f t="shared" si="6"/>
        <v>0.6</v>
      </c>
    </row>
    <row r="62" spans="1:16" x14ac:dyDescent="0.25">
      <c r="A62" t="s">
        <v>7</v>
      </c>
      <c r="B62" s="15">
        <f t="shared" si="7"/>
        <v>0.1</v>
      </c>
      <c r="C62" s="6">
        <f>IF(M62&lt;&gt;"",B62*O62+C61,C61)</f>
        <v>0.33999999999999997</v>
      </c>
      <c r="D62" s="2">
        <f t="shared" si="8"/>
        <v>9140</v>
      </c>
      <c r="E62" s="2">
        <f t="shared" si="2"/>
        <v>-860</v>
      </c>
      <c r="F62" s="4">
        <f>IF(M62&lt;&gt;"",F61+(C62-C61)*D62/G62,F61)</f>
        <v>461.8857142857143</v>
      </c>
      <c r="G62">
        <f t="shared" si="3"/>
        <v>7</v>
      </c>
      <c r="H62" s="4">
        <f t="shared" si="13"/>
        <v>3107.6</v>
      </c>
      <c r="I62" s="4">
        <f t="shared" si="12"/>
        <v>9509.4117647058829</v>
      </c>
      <c r="J62" s="4">
        <f t="shared" si="10"/>
        <v>-17.942857142857168</v>
      </c>
      <c r="K62" s="20">
        <f t="shared" si="11"/>
        <v>-3.8846962761351037E-2</v>
      </c>
      <c r="L62" s="5" t="str">
        <f>IFERROR(HLOOKUP(M62,$3:$4,2,0),"")</f>
        <v/>
      </c>
      <c r="M62" s="5" t="str">
        <f>IFERROR(HLOOKUP(D62,$8:$9,2,0),"")</f>
        <v/>
      </c>
      <c r="N62" t="str">
        <f>IFERROR(HLOOKUP(M62,$9:$11,3,0),"")</f>
        <v/>
      </c>
      <c r="O62" s="1" t="str">
        <f t="shared" si="5"/>
        <v/>
      </c>
      <c r="P62">
        <f t="shared" si="6"/>
        <v>0.6</v>
      </c>
    </row>
    <row r="63" spans="1:16" x14ac:dyDescent="0.25">
      <c r="A63" t="s">
        <v>7</v>
      </c>
      <c r="B63" s="15">
        <f t="shared" si="7"/>
        <v>0.1</v>
      </c>
      <c r="C63" s="6">
        <f>IF(M63&lt;&gt;"",B63*O63+C62,C62)</f>
        <v>0.33999999999999997</v>
      </c>
      <c r="D63" s="2">
        <f t="shared" si="8"/>
        <v>9120</v>
      </c>
      <c r="E63" s="2">
        <f t="shared" si="2"/>
        <v>-880</v>
      </c>
      <c r="F63" s="4">
        <f>IF(M63&lt;&gt;"",F62+(C63-C62)*D63/G63,F62)</f>
        <v>461.8857142857143</v>
      </c>
      <c r="G63">
        <f t="shared" si="3"/>
        <v>7</v>
      </c>
      <c r="H63" s="4">
        <f t="shared" si="13"/>
        <v>3100.7999999999997</v>
      </c>
      <c r="I63" s="4">
        <f t="shared" si="12"/>
        <v>9509.4117647058829</v>
      </c>
      <c r="J63" s="4">
        <f t="shared" si="10"/>
        <v>-18.914285714285739</v>
      </c>
      <c r="K63" s="20">
        <f t="shared" si="11"/>
        <v>-4.0950142273908259E-2</v>
      </c>
      <c r="L63" s="5" t="str">
        <f>IFERROR(HLOOKUP(M63,$3:$4,2,0),"")</f>
        <v/>
      </c>
      <c r="M63" s="5" t="str">
        <f>IFERROR(HLOOKUP(D63,$8:$9,2,0),"")</f>
        <v/>
      </c>
      <c r="N63" t="str">
        <f>IFERROR(HLOOKUP(M63,$9:$11,3,0),"")</f>
        <v/>
      </c>
      <c r="O63" s="1" t="str">
        <f t="shared" si="5"/>
        <v/>
      </c>
      <c r="P63">
        <f t="shared" si="6"/>
        <v>0.6</v>
      </c>
    </row>
    <row r="64" spans="1:16" x14ac:dyDescent="0.25">
      <c r="A64" t="s">
        <v>7</v>
      </c>
      <c r="B64" s="15">
        <f t="shared" si="7"/>
        <v>0.1</v>
      </c>
      <c r="C64" s="6">
        <f>IF(M64&lt;&gt;"",B64*O64+C63,C63)</f>
        <v>0.33999999999999997</v>
      </c>
      <c r="D64" s="2">
        <f t="shared" si="8"/>
        <v>9100</v>
      </c>
      <c r="E64" s="2">
        <f t="shared" si="2"/>
        <v>-900</v>
      </c>
      <c r="F64" s="4">
        <f>IF(M64&lt;&gt;"",F63+(C64-C63)*D64/G64,F63)</f>
        <v>461.8857142857143</v>
      </c>
      <c r="G64">
        <f t="shared" si="3"/>
        <v>7</v>
      </c>
      <c r="H64" s="4">
        <f t="shared" si="13"/>
        <v>3093.9999999999995</v>
      </c>
      <c r="I64" s="4">
        <f t="shared" si="12"/>
        <v>9509.4117647058829</v>
      </c>
      <c r="J64" s="4">
        <f t="shared" si="10"/>
        <v>-19.885714285714307</v>
      </c>
      <c r="K64" s="20">
        <f t="shared" si="11"/>
        <v>-4.3053321786465468E-2</v>
      </c>
      <c r="L64" s="5" t="str">
        <f>IFERROR(HLOOKUP(M64,$3:$4,2,0),"")</f>
        <v/>
      </c>
      <c r="M64" s="5" t="str">
        <f>IFERROR(HLOOKUP(D64,$8:$9,2,0),"")</f>
        <v/>
      </c>
      <c r="N64" t="str">
        <f>IFERROR(HLOOKUP(M64,$9:$11,3,0),"")</f>
        <v/>
      </c>
      <c r="O64" s="1" t="str">
        <f t="shared" si="5"/>
        <v/>
      </c>
      <c r="P64">
        <f t="shared" si="6"/>
        <v>0.6</v>
      </c>
    </row>
    <row r="65" spans="1:16" x14ac:dyDescent="0.25">
      <c r="A65" t="s">
        <v>7</v>
      </c>
      <c r="B65" s="15">
        <f t="shared" si="7"/>
        <v>0.1</v>
      </c>
      <c r="C65" s="6">
        <f>IF(M65&lt;&gt;"",B65*O65+C64,C64)</f>
        <v>0.33999999999999997</v>
      </c>
      <c r="D65" s="2">
        <f t="shared" si="8"/>
        <v>9080</v>
      </c>
      <c r="E65" s="2">
        <f t="shared" si="2"/>
        <v>-920</v>
      </c>
      <c r="F65" s="4">
        <f>IF(M65&lt;&gt;"",F64+(C65-C64)*D65/G65,F64)</f>
        <v>461.8857142857143</v>
      </c>
      <c r="G65">
        <f t="shared" si="3"/>
        <v>7</v>
      </c>
      <c r="H65" s="4">
        <f t="shared" si="13"/>
        <v>3087.2</v>
      </c>
      <c r="I65" s="4">
        <f t="shared" si="12"/>
        <v>9509.4117647058829</v>
      </c>
      <c r="J65" s="4">
        <f t="shared" si="10"/>
        <v>-20.857142857142883</v>
      </c>
      <c r="K65" s="20">
        <f t="shared" si="11"/>
        <v>-4.515650129902269E-2</v>
      </c>
      <c r="L65" s="5" t="str">
        <f>IFERROR(HLOOKUP(M65,$3:$4,2,0),"")</f>
        <v/>
      </c>
      <c r="M65" s="5" t="str">
        <f>IFERROR(HLOOKUP(D65,$8:$9,2,0),"")</f>
        <v/>
      </c>
      <c r="N65" t="str">
        <f>IFERROR(HLOOKUP(M65,$9:$11,3,0),"")</f>
        <v/>
      </c>
      <c r="O65" s="1" t="str">
        <f t="shared" si="5"/>
        <v/>
      </c>
      <c r="P65">
        <f t="shared" si="6"/>
        <v>0.6</v>
      </c>
    </row>
    <row r="66" spans="1:16" x14ac:dyDescent="0.25">
      <c r="A66" t="s">
        <v>7</v>
      </c>
      <c r="B66" s="15">
        <f t="shared" si="7"/>
        <v>0.1</v>
      </c>
      <c r="C66" s="6">
        <f>IF(M66&lt;&gt;"",B66*O66+C65,C65)</f>
        <v>0.52</v>
      </c>
      <c r="D66" s="2">
        <f t="shared" si="8"/>
        <v>9060</v>
      </c>
      <c r="E66" s="2">
        <f t="shared" si="2"/>
        <v>-940</v>
      </c>
      <c r="F66" s="4">
        <f>IF(M66&lt;&gt;"",F65+(C66-C65)*D66/G66,F65)</f>
        <v>694.85714285714289</v>
      </c>
      <c r="G66">
        <f t="shared" si="3"/>
        <v>7</v>
      </c>
      <c r="H66" s="4">
        <f t="shared" si="13"/>
        <v>4711.2</v>
      </c>
      <c r="I66" s="4">
        <f t="shared" si="12"/>
        <v>9353.8461538461543</v>
      </c>
      <c r="J66" s="4">
        <f t="shared" si="10"/>
        <v>-21.828571428571458</v>
      </c>
      <c r="K66" s="20">
        <f t="shared" si="11"/>
        <v>-3.1414473684210568E-2</v>
      </c>
      <c r="L66" s="5">
        <f>IFERROR(HLOOKUP(M66,$3:$4,2,0),"")</f>
        <v>5</v>
      </c>
      <c r="M66" s="5" t="str">
        <f>IFERROR(HLOOKUP(D66,$8:$9,2,0),"")</f>
        <v>Step4</v>
      </c>
      <c r="N66">
        <f>IFERROR(HLOOKUP(M66,$9:$11,3,0),"")</f>
        <v>3</v>
      </c>
      <c r="O66" s="1">
        <f t="shared" si="5"/>
        <v>1.7999999999999998</v>
      </c>
      <c r="P66">
        <f t="shared" si="6"/>
        <v>0.6</v>
      </c>
    </row>
    <row r="67" spans="1:16" x14ac:dyDescent="0.25">
      <c r="A67" t="s">
        <v>7</v>
      </c>
      <c r="B67" s="15">
        <f t="shared" si="7"/>
        <v>0.1</v>
      </c>
      <c r="C67" s="6">
        <f>IF(M67&lt;&gt;"",B67*O67+C66,C66)</f>
        <v>0.52</v>
      </c>
      <c r="D67" s="2">
        <f t="shared" si="8"/>
        <v>9040</v>
      </c>
      <c r="E67" s="2">
        <f t="shared" si="2"/>
        <v>-960</v>
      </c>
      <c r="F67" s="4">
        <f>IF(M67&lt;&gt;"",F66+(C67-C66)*D67/G67,F66)</f>
        <v>694.85714285714289</v>
      </c>
      <c r="G67">
        <f t="shared" si="3"/>
        <v>7</v>
      </c>
      <c r="H67" s="4">
        <f t="shared" si="13"/>
        <v>4700.8</v>
      </c>
      <c r="I67" s="4">
        <f t="shared" si="12"/>
        <v>9353.8461538461543</v>
      </c>
      <c r="J67" s="4">
        <f t="shared" si="10"/>
        <v>-23.314285714285745</v>
      </c>
      <c r="K67" s="20">
        <f t="shared" si="11"/>
        <v>-3.355263157894741E-2</v>
      </c>
      <c r="L67" s="5" t="str">
        <f>IFERROR(HLOOKUP(M67,$3:$4,2,0),"")</f>
        <v/>
      </c>
      <c r="M67" s="5" t="str">
        <f>IFERROR(HLOOKUP(D67,$8:$9,2,0),"")</f>
        <v/>
      </c>
      <c r="N67" t="str">
        <f>IFERROR(HLOOKUP(M67,$9:$11,3,0),"")</f>
        <v/>
      </c>
      <c r="O67" s="1" t="str">
        <f t="shared" si="5"/>
        <v/>
      </c>
      <c r="P67">
        <f t="shared" si="6"/>
        <v>0.6</v>
      </c>
    </row>
    <row r="68" spans="1:16" x14ac:dyDescent="0.25">
      <c r="A68" t="s">
        <v>7</v>
      </c>
      <c r="B68" s="15">
        <f t="shared" si="7"/>
        <v>0.1</v>
      </c>
      <c r="C68" s="6">
        <f>IF(M68&lt;&gt;"",B68*O68+C67,C67)</f>
        <v>0.52</v>
      </c>
      <c r="D68" s="2">
        <f t="shared" si="8"/>
        <v>9020</v>
      </c>
      <c r="E68" s="2">
        <f t="shared" si="2"/>
        <v>-980</v>
      </c>
      <c r="F68" s="4">
        <f>IF(M68&lt;&gt;"",F67+(C68-C67)*D68/G68,F67)</f>
        <v>694.85714285714289</v>
      </c>
      <c r="G68">
        <f t="shared" si="3"/>
        <v>7</v>
      </c>
      <c r="H68" s="4">
        <f t="shared" si="13"/>
        <v>4690.4000000000005</v>
      </c>
      <c r="I68" s="4">
        <f t="shared" si="12"/>
        <v>9353.8461538461543</v>
      </c>
      <c r="J68" s="4">
        <f t="shared" si="10"/>
        <v>-24.800000000000033</v>
      </c>
      <c r="K68" s="20">
        <f t="shared" si="11"/>
        <v>-3.5690789473684259E-2</v>
      </c>
      <c r="L68" s="5" t="str">
        <f>IFERROR(HLOOKUP(M68,$3:$4,2,0),"")</f>
        <v/>
      </c>
      <c r="M68" s="5" t="str">
        <f>IFERROR(HLOOKUP(D68,$8:$9,2,0),"")</f>
        <v/>
      </c>
      <c r="N68" t="str">
        <f>IFERROR(HLOOKUP(M68,$9:$11,3,0),"")</f>
        <v/>
      </c>
      <c r="O68" s="1" t="str">
        <f t="shared" si="5"/>
        <v/>
      </c>
      <c r="P68">
        <f t="shared" si="6"/>
        <v>0.6</v>
      </c>
    </row>
    <row r="69" spans="1:16" s="21" customFormat="1" ht="15.75" thickBot="1" x14ac:dyDescent="0.3">
      <c r="A69" s="21" t="s">
        <v>7</v>
      </c>
      <c r="B69" s="22">
        <f t="shared" si="7"/>
        <v>0.1</v>
      </c>
      <c r="C69" s="23">
        <f>IF(M69&lt;&gt;"",B69*O69+C68,C68)</f>
        <v>0.82000000000000006</v>
      </c>
      <c r="D69" s="24">
        <f t="shared" si="8"/>
        <v>9000</v>
      </c>
      <c r="E69" s="24">
        <f t="shared" si="2"/>
        <v>-1000</v>
      </c>
      <c r="F69" s="25">
        <f>IF(M69&lt;&gt;"",F68+(C69-C68)*D69/G69,F68)</f>
        <v>1080.5714285714287</v>
      </c>
      <c r="G69" s="21">
        <f t="shared" si="3"/>
        <v>7</v>
      </c>
      <c r="H69" s="25">
        <f t="shared" si="13"/>
        <v>7380.0000000000009</v>
      </c>
      <c r="I69" s="25">
        <f t="shared" si="12"/>
        <v>9224.3902439024387</v>
      </c>
      <c r="J69" s="25">
        <f t="shared" si="10"/>
        <v>-26.285714285714246</v>
      </c>
      <c r="K69" s="26">
        <f t="shared" si="11"/>
        <v>-2.4325753569539886E-2</v>
      </c>
      <c r="L69" s="27">
        <f>IFERROR(HLOOKUP(M69,$3:$4,2,0),"")</f>
        <v>3</v>
      </c>
      <c r="M69" s="27" t="str">
        <f>IFERROR(HLOOKUP(D69,$8:$9,2,0),"")</f>
        <v>Step5</v>
      </c>
      <c r="N69" s="21">
        <f>IFERROR(HLOOKUP(M69,$9:$11,3,0),"")</f>
        <v>5</v>
      </c>
      <c r="O69" s="28">
        <f>IFERROR(P69*N69,"")</f>
        <v>3</v>
      </c>
      <c r="P69" s="21">
        <f t="shared" si="6"/>
        <v>0.6</v>
      </c>
    </row>
    <row r="70" spans="1:16" ht="15.75" thickTop="1" x14ac:dyDescent="0.25">
      <c r="A70" t="s">
        <v>7</v>
      </c>
      <c r="B70" s="15">
        <f t="shared" si="7"/>
        <v>0.1</v>
      </c>
      <c r="C70" s="6">
        <f>IF(M70&lt;&gt;"",B70*O70+C69,C69)</f>
        <v>0.82000000000000006</v>
      </c>
      <c r="D70" s="2">
        <v>9100</v>
      </c>
      <c r="E70" s="2">
        <f t="shared" si="2"/>
        <v>-900</v>
      </c>
      <c r="F70" s="4">
        <f>IF(M70&lt;&gt;"",F69+(C70-C69)*D70/G70,F69)</f>
        <v>1080.5714285714287</v>
      </c>
      <c r="G70">
        <f t="shared" si="3"/>
        <v>7</v>
      </c>
      <c r="H70" s="4">
        <f t="shared" ref="H70:H133" si="14">C70*D70</f>
        <v>7462.0000000000009</v>
      </c>
      <c r="I70" s="4">
        <f t="shared" si="12"/>
        <v>9224.3902439024387</v>
      </c>
      <c r="J70" s="4">
        <f t="shared" si="10"/>
        <v>-14.57142857142853</v>
      </c>
      <c r="K70" s="20">
        <f t="shared" si="11"/>
        <v>-1.3484928609201441E-2</v>
      </c>
      <c r="L70" s="5" t="str">
        <f>IFERROR(HLOOKUP(M70,$3:$4,2,0),"")</f>
        <v/>
      </c>
      <c r="M70" s="5" t="str">
        <f>IFERROR(HLOOKUP(D70,$8:$9,2,0),"")</f>
        <v/>
      </c>
      <c r="N70" t="str">
        <f>IFERROR(HLOOKUP(M70,$9:$11,3,0),"")</f>
        <v/>
      </c>
      <c r="O70" s="1" t="str">
        <f t="shared" si="5"/>
        <v/>
      </c>
      <c r="P70">
        <f t="shared" si="6"/>
        <v>0.6</v>
      </c>
    </row>
    <row r="71" spans="1:16" x14ac:dyDescent="0.25">
      <c r="A71" t="s">
        <v>7</v>
      </c>
      <c r="B71" s="15">
        <f t="shared" si="7"/>
        <v>0.1</v>
      </c>
      <c r="C71" s="6">
        <f>IF(M71&lt;&gt;"",B71*O71+C70,C70)</f>
        <v>0.82000000000000006</v>
      </c>
      <c r="D71" s="2">
        <f>D70+100</f>
        <v>9200</v>
      </c>
      <c r="E71" s="2">
        <f t="shared" si="2"/>
        <v>-800</v>
      </c>
      <c r="F71" s="4">
        <f>IF(M71&lt;&gt;"",F70+(C71-C70)*D71/G71,F70)</f>
        <v>1080.5714285714287</v>
      </c>
      <c r="G71">
        <f t="shared" si="3"/>
        <v>7</v>
      </c>
      <c r="H71" s="4">
        <f t="shared" si="14"/>
        <v>7544.0000000000009</v>
      </c>
      <c r="I71" s="4">
        <f t="shared" si="12"/>
        <v>9224.3902439024387</v>
      </c>
      <c r="J71" s="4">
        <f t="shared" si="10"/>
        <v>-2.8571428571428159</v>
      </c>
      <c r="K71" s="20">
        <f t="shared" si="11"/>
        <v>-2.6441036488629968E-3</v>
      </c>
      <c r="L71" s="5" t="str">
        <f>IFERROR(HLOOKUP(M71,$3:$4,2,0),"")</f>
        <v/>
      </c>
      <c r="M71" s="5" t="str">
        <f>IFERROR(HLOOKUP(D71,$8:$9,2,0),"")</f>
        <v/>
      </c>
      <c r="N71" t="str">
        <f>IFERROR(HLOOKUP(M71,$9:$11,3,0),"")</f>
        <v/>
      </c>
      <c r="O71" s="1" t="str">
        <f t="shared" si="5"/>
        <v/>
      </c>
      <c r="P71">
        <f t="shared" si="6"/>
        <v>0.6</v>
      </c>
    </row>
    <row r="72" spans="1:16" x14ac:dyDescent="0.25">
      <c r="A72" t="s">
        <v>7</v>
      </c>
      <c r="B72" s="15">
        <f t="shared" si="7"/>
        <v>0.1</v>
      </c>
      <c r="C72" s="6">
        <f>IF(M72&lt;&gt;"",B72*O72+C71,C71)</f>
        <v>0.82000000000000006</v>
      </c>
      <c r="D72" s="2">
        <f t="shared" ref="D72:D135" si="15">D71+100</f>
        <v>9300</v>
      </c>
      <c r="E72" s="2">
        <f t="shared" si="2"/>
        <v>-700</v>
      </c>
      <c r="F72" s="4">
        <f>IF(M72&lt;&gt;"",F71+(C72-C71)*D72/G72,F71)</f>
        <v>1080.5714285714287</v>
      </c>
      <c r="G72">
        <f t="shared" si="3"/>
        <v>7</v>
      </c>
      <c r="H72" s="4">
        <f t="shared" si="14"/>
        <v>7626.0000000000009</v>
      </c>
      <c r="I72" s="4">
        <f t="shared" si="12"/>
        <v>9224.3902439024387</v>
      </c>
      <c r="J72" s="4">
        <f t="shared" si="10"/>
        <v>8.8571428571429003</v>
      </c>
      <c r="K72" s="20">
        <f t="shared" si="11"/>
        <v>8.1967213114754484E-3</v>
      </c>
      <c r="L72" s="5" t="str">
        <f>IFERROR(HLOOKUP(M72,$3:$4,2,0),"")</f>
        <v/>
      </c>
      <c r="M72" s="5" t="str">
        <f>IFERROR(HLOOKUP(D72,$8:$9,2,0),"")</f>
        <v/>
      </c>
      <c r="N72" t="str">
        <f>IFERROR(HLOOKUP(M72,$9:$11,3,0),"")</f>
        <v/>
      </c>
      <c r="O72" s="1" t="str">
        <f t="shared" si="5"/>
        <v/>
      </c>
      <c r="P72">
        <f t="shared" si="6"/>
        <v>0.6</v>
      </c>
    </row>
    <row r="73" spans="1:16" x14ac:dyDescent="0.25">
      <c r="A73" t="s">
        <v>7</v>
      </c>
      <c r="B73" s="15">
        <f t="shared" si="7"/>
        <v>0.1</v>
      </c>
      <c r="C73" s="6">
        <f>IF(M73&lt;&gt;"",B73*O73+C72,C72)</f>
        <v>0.82000000000000006</v>
      </c>
      <c r="D73" s="2">
        <f t="shared" si="15"/>
        <v>9400</v>
      </c>
      <c r="E73" s="2">
        <f t="shared" si="2"/>
        <v>-600</v>
      </c>
      <c r="F73" s="4">
        <f>IF(M73&lt;&gt;"",F72+(C73-C72)*D73/G73,F72)</f>
        <v>1080.5714285714287</v>
      </c>
      <c r="G73">
        <f t="shared" si="3"/>
        <v>7</v>
      </c>
      <c r="H73" s="4">
        <f t="shared" si="14"/>
        <v>7708.0000000000009</v>
      </c>
      <c r="I73" s="4">
        <f t="shared" si="12"/>
        <v>9224.3902439024387</v>
      </c>
      <c r="J73" s="4">
        <f t="shared" si="10"/>
        <v>20.571428571428616</v>
      </c>
      <c r="K73" s="20">
        <f t="shared" si="11"/>
        <v>1.9037546271813893E-2</v>
      </c>
      <c r="L73" s="5" t="str">
        <f>IFERROR(HLOOKUP(M73,$3:$4,2,0),"")</f>
        <v/>
      </c>
      <c r="M73" s="5" t="str">
        <f>IFERROR(HLOOKUP(D73,$8:$9,2,0),"")</f>
        <v/>
      </c>
      <c r="N73" t="str">
        <f>IFERROR(HLOOKUP(M73,$9:$11,3,0),"")</f>
        <v/>
      </c>
      <c r="O73" s="1" t="str">
        <f t="shared" si="5"/>
        <v/>
      </c>
      <c r="P73">
        <f t="shared" si="6"/>
        <v>0.6</v>
      </c>
    </row>
    <row r="74" spans="1:16" x14ac:dyDescent="0.25">
      <c r="A74" t="s">
        <v>7</v>
      </c>
      <c r="B74" s="15">
        <f t="shared" si="7"/>
        <v>0.1</v>
      </c>
      <c r="C74" s="6">
        <f>IF(M74&lt;&gt;"",B74*O74+C73,C73)</f>
        <v>0.82000000000000006</v>
      </c>
      <c r="D74" s="2">
        <f t="shared" si="15"/>
        <v>9500</v>
      </c>
      <c r="E74" s="2">
        <f t="shared" si="2"/>
        <v>-500</v>
      </c>
      <c r="F74" s="4">
        <f>IF(M74&lt;&gt;"",F73+(C74-C73)*D74/G74,F73)</f>
        <v>1080.5714285714287</v>
      </c>
      <c r="G74">
        <f t="shared" si="3"/>
        <v>7</v>
      </c>
      <c r="H74" s="4">
        <f t="shared" si="14"/>
        <v>7790.0000000000009</v>
      </c>
      <c r="I74" s="4">
        <f t="shared" si="12"/>
        <v>9224.3902439024387</v>
      </c>
      <c r="J74" s="4">
        <f t="shared" si="10"/>
        <v>32.285714285714327</v>
      </c>
      <c r="K74" s="20">
        <f t="shared" si="11"/>
        <v>2.9878371232152336E-2</v>
      </c>
      <c r="L74" s="5" t="str">
        <f>IFERROR(HLOOKUP(M74,$3:$4,2,0),"")</f>
        <v/>
      </c>
      <c r="M74" s="5" t="str">
        <f>IFERROR(HLOOKUP(D74,$8:$9,2,0),"")</f>
        <v/>
      </c>
      <c r="N74" t="str">
        <f>IFERROR(HLOOKUP(M74,$9:$11,3,0),"")</f>
        <v/>
      </c>
      <c r="O74" s="1" t="str">
        <f t="shared" si="5"/>
        <v/>
      </c>
      <c r="P74">
        <f t="shared" si="6"/>
        <v>0.6</v>
      </c>
    </row>
    <row r="75" spans="1:16" x14ac:dyDescent="0.25">
      <c r="A75" t="s">
        <v>7</v>
      </c>
      <c r="B75" s="15">
        <f t="shared" si="7"/>
        <v>0.1</v>
      </c>
      <c r="C75" s="6">
        <f>IF(M75&lt;&gt;"",B75*O75+C74,C74)</f>
        <v>0.82000000000000006</v>
      </c>
      <c r="D75" s="2">
        <f t="shared" si="15"/>
        <v>9600</v>
      </c>
      <c r="E75" s="2">
        <f t="shared" si="2"/>
        <v>-400</v>
      </c>
      <c r="F75" s="4">
        <f>IF(M75&lt;&gt;"",F74+(C75-C74)*D75/G75,F74)</f>
        <v>1080.5714285714287</v>
      </c>
      <c r="G75">
        <f t="shared" si="3"/>
        <v>7</v>
      </c>
      <c r="H75" s="4">
        <f t="shared" si="14"/>
        <v>7872.0000000000009</v>
      </c>
      <c r="I75" s="4">
        <f t="shared" si="12"/>
        <v>9224.3902439024387</v>
      </c>
      <c r="J75" s="4">
        <f t="shared" si="10"/>
        <v>44.00000000000005</v>
      </c>
      <c r="K75" s="20">
        <f t="shared" si="11"/>
        <v>4.0719196192490786E-2</v>
      </c>
      <c r="L75" s="5" t="str">
        <f>IFERROR(HLOOKUP(M75,$3:$4,2,0),"")</f>
        <v/>
      </c>
      <c r="M75" s="5" t="str">
        <f>IFERROR(HLOOKUP(D75,$8:$9,2,0),"")</f>
        <v/>
      </c>
      <c r="N75" t="str">
        <f>IFERROR(HLOOKUP(M75,$9:$11,3,0),"")</f>
        <v/>
      </c>
      <c r="O75" s="1" t="str">
        <f t="shared" si="5"/>
        <v/>
      </c>
      <c r="P75">
        <f t="shared" si="6"/>
        <v>0.6</v>
      </c>
    </row>
    <row r="76" spans="1:16" x14ac:dyDescent="0.25">
      <c r="A76" t="s">
        <v>7</v>
      </c>
      <c r="B76" s="15">
        <f t="shared" si="7"/>
        <v>0.1</v>
      </c>
      <c r="C76" s="6">
        <f>IF(M76&lt;&gt;"",B76*O76+C75,C75)</f>
        <v>0.82000000000000006</v>
      </c>
      <c r="D76" s="2">
        <f t="shared" si="15"/>
        <v>9700</v>
      </c>
      <c r="E76" s="2">
        <f t="shared" si="2"/>
        <v>-300</v>
      </c>
      <c r="F76" s="4">
        <f>IF(M76&lt;&gt;"",F75+(C76-C75)*D76/G76,F75)</f>
        <v>1080.5714285714287</v>
      </c>
      <c r="G76">
        <f t="shared" si="3"/>
        <v>7</v>
      </c>
      <c r="H76" s="4">
        <f t="shared" si="14"/>
        <v>7954.0000000000009</v>
      </c>
      <c r="I76" s="4">
        <f t="shared" si="12"/>
        <v>9224.3902439024387</v>
      </c>
      <c r="J76" s="4">
        <f t="shared" si="10"/>
        <v>55.714285714285765</v>
      </c>
      <c r="K76" s="20">
        <f t="shared" si="11"/>
        <v>5.1560021152829233E-2</v>
      </c>
      <c r="L76" s="5" t="str">
        <f>IFERROR(HLOOKUP(M76,$3:$4,2,0),"")</f>
        <v/>
      </c>
      <c r="M76" s="5" t="str">
        <f>IFERROR(HLOOKUP(D76,$8:$9,2,0),"")</f>
        <v/>
      </c>
      <c r="N76" t="str">
        <f>IFERROR(HLOOKUP(M76,$9:$11,3,0),"")</f>
        <v/>
      </c>
      <c r="O76" s="1" t="str">
        <f t="shared" si="5"/>
        <v/>
      </c>
      <c r="P76">
        <f t="shared" si="6"/>
        <v>0.6</v>
      </c>
    </row>
    <row r="77" spans="1:16" x14ac:dyDescent="0.25">
      <c r="A77" t="s">
        <v>7</v>
      </c>
      <c r="B77" s="15">
        <f t="shared" si="7"/>
        <v>0.1</v>
      </c>
      <c r="C77" s="6">
        <f>IF(M77&lt;&gt;"",B77*O77+C76,C76)</f>
        <v>0.82000000000000006</v>
      </c>
      <c r="D77" s="2">
        <f t="shared" si="15"/>
        <v>9800</v>
      </c>
      <c r="E77" s="2">
        <f t="shared" si="2"/>
        <v>-200</v>
      </c>
      <c r="F77" s="4">
        <f>IF(M77&lt;&gt;"",F76+(C77-C76)*D77/G77,F76)</f>
        <v>1080.5714285714287</v>
      </c>
      <c r="G77">
        <f t="shared" si="3"/>
        <v>7</v>
      </c>
      <c r="H77" s="4">
        <f t="shared" si="14"/>
        <v>8036.0000000000009</v>
      </c>
      <c r="I77" s="4">
        <f t="shared" si="12"/>
        <v>9224.3902439024387</v>
      </c>
      <c r="J77" s="4">
        <f t="shared" si="10"/>
        <v>67.428571428571473</v>
      </c>
      <c r="K77" s="20">
        <f t="shared" si="11"/>
        <v>6.2400846113167673E-2</v>
      </c>
      <c r="L77" s="5" t="str">
        <f>IFERROR(HLOOKUP(M77,$3:$4,2,0),"")</f>
        <v/>
      </c>
      <c r="M77" s="5" t="str">
        <f>IFERROR(HLOOKUP(D77,$8:$9,2,0),"")</f>
        <v/>
      </c>
      <c r="N77" t="str">
        <f>IFERROR(HLOOKUP(M77,$9:$11,3,0),"")</f>
        <v/>
      </c>
      <c r="O77" s="1" t="str">
        <f t="shared" si="5"/>
        <v/>
      </c>
      <c r="P77">
        <f t="shared" si="6"/>
        <v>0.6</v>
      </c>
    </row>
    <row r="78" spans="1:16" x14ac:dyDescent="0.25">
      <c r="A78" t="s">
        <v>7</v>
      </c>
      <c r="B78" s="15">
        <f t="shared" si="7"/>
        <v>0.1</v>
      </c>
      <c r="C78" s="6">
        <f>IF(M78&lt;&gt;"",B78*O78+C77,C77)</f>
        <v>0.82000000000000006</v>
      </c>
      <c r="D78" s="2">
        <f t="shared" si="15"/>
        <v>9900</v>
      </c>
      <c r="E78" s="2">
        <f t="shared" si="2"/>
        <v>-100</v>
      </c>
      <c r="F78" s="4">
        <f>IF(M78&lt;&gt;"",F77+(C78-C77)*D78/G78,F77)</f>
        <v>1080.5714285714287</v>
      </c>
      <c r="G78">
        <f t="shared" si="3"/>
        <v>7</v>
      </c>
      <c r="H78" s="4">
        <f t="shared" si="14"/>
        <v>8118.0000000000009</v>
      </c>
      <c r="I78" s="4">
        <f t="shared" si="12"/>
        <v>9224.3902439024387</v>
      </c>
      <c r="J78" s="4">
        <f t="shared" si="10"/>
        <v>79.142857142857196</v>
      </c>
      <c r="K78" s="20">
        <f t="shared" si="11"/>
        <v>7.3241671073506126E-2</v>
      </c>
      <c r="L78" s="5" t="str">
        <f>IFERROR(HLOOKUP(M78,$3:$4,2,0),"")</f>
        <v/>
      </c>
      <c r="M78" s="5" t="str">
        <f>IFERROR(HLOOKUP(D78,$8:$9,2,0),"")</f>
        <v/>
      </c>
      <c r="N78" t="str">
        <f>IFERROR(HLOOKUP(M78,$9:$11,3,0),"")</f>
        <v/>
      </c>
      <c r="O78" s="1" t="str">
        <f t="shared" si="5"/>
        <v/>
      </c>
      <c r="P78">
        <f t="shared" si="6"/>
        <v>0.6</v>
      </c>
    </row>
    <row r="79" spans="1:16" x14ac:dyDescent="0.25">
      <c r="A79" t="s">
        <v>7</v>
      </c>
      <c r="B79" s="15">
        <f t="shared" si="7"/>
        <v>0.1</v>
      </c>
      <c r="C79" s="6">
        <f>IF(M79&lt;&gt;"",B79*O79+C78,C78)</f>
        <v>0.82000000000000006</v>
      </c>
      <c r="D79" s="2">
        <f t="shared" si="15"/>
        <v>10000</v>
      </c>
      <c r="E79" s="2">
        <f t="shared" si="2"/>
        <v>0</v>
      </c>
      <c r="F79" s="4">
        <f>IF(M79&lt;&gt;"",F78+(C79-C78)*D79/G79,F78)</f>
        <v>1080.5714285714287</v>
      </c>
      <c r="G79">
        <f t="shared" si="3"/>
        <v>7</v>
      </c>
      <c r="H79" s="4">
        <f t="shared" si="14"/>
        <v>8200</v>
      </c>
      <c r="I79" s="4">
        <f t="shared" si="12"/>
        <v>9224.3902439024387</v>
      </c>
      <c r="J79" s="4">
        <f t="shared" si="10"/>
        <v>90.857142857142904</v>
      </c>
      <c r="K79" s="20">
        <f t="shared" si="11"/>
        <v>8.4082496033844559E-2</v>
      </c>
      <c r="L79" s="5" t="str">
        <f>IFERROR(HLOOKUP(M79,$3:$4,2,0),"")</f>
        <v/>
      </c>
      <c r="M79" s="5" t="str">
        <f>IFERROR(HLOOKUP(D79,$8:$9,2,0),"")</f>
        <v/>
      </c>
      <c r="N79" t="str">
        <f>IFERROR(HLOOKUP(M79,$9:$11,3,0),"")</f>
        <v/>
      </c>
      <c r="O79" s="1" t="str">
        <f t="shared" si="5"/>
        <v/>
      </c>
      <c r="P79">
        <f t="shared" si="6"/>
        <v>0.6</v>
      </c>
    </row>
    <row r="80" spans="1:16" x14ac:dyDescent="0.25">
      <c r="A80" t="s">
        <v>7</v>
      </c>
      <c r="B80" s="15">
        <f t="shared" si="7"/>
        <v>0.1</v>
      </c>
      <c r="C80" s="6">
        <f>IF(M80&lt;&gt;"",B80*O80+C79,C79)</f>
        <v>0.82000000000000006</v>
      </c>
      <c r="D80" s="2">
        <f t="shared" si="15"/>
        <v>10100</v>
      </c>
      <c r="E80" s="2">
        <f t="shared" si="2"/>
        <v>100</v>
      </c>
      <c r="F80" s="4">
        <f>IF(M80&lt;&gt;"",F79+(C80-C79)*D80/G80,F79)</f>
        <v>1080.5714285714287</v>
      </c>
      <c r="G80">
        <f t="shared" si="3"/>
        <v>7</v>
      </c>
      <c r="H80" s="4">
        <f t="shared" si="14"/>
        <v>8282</v>
      </c>
      <c r="I80" s="4">
        <f t="shared" si="12"/>
        <v>9224.3902439024387</v>
      </c>
      <c r="J80" s="4">
        <f t="shared" si="10"/>
        <v>102.57142857142863</v>
      </c>
      <c r="K80" s="20">
        <f t="shared" si="11"/>
        <v>9.4923320994183019E-2</v>
      </c>
      <c r="L80" s="5" t="str">
        <f>IFERROR(HLOOKUP(M80,$3:$4,2,0),"")</f>
        <v/>
      </c>
      <c r="M80" s="5" t="str">
        <f>IFERROR(HLOOKUP(D80,$8:$9,2,0),"")</f>
        <v/>
      </c>
      <c r="N80" t="str">
        <f>IFERROR(HLOOKUP(M80,$9:$11,3,0),"")</f>
        <v/>
      </c>
      <c r="O80" s="1" t="str">
        <f t="shared" si="5"/>
        <v/>
      </c>
      <c r="P80">
        <f t="shared" si="6"/>
        <v>0.6</v>
      </c>
    </row>
    <row r="81" spans="1:16" x14ac:dyDescent="0.25">
      <c r="A81" t="s">
        <v>7</v>
      </c>
      <c r="B81" s="15">
        <f t="shared" si="7"/>
        <v>0.1</v>
      </c>
      <c r="C81" s="6">
        <f>IF(M81&lt;&gt;"",B81*O81+C80,C80)</f>
        <v>0.82000000000000006</v>
      </c>
      <c r="D81" s="2">
        <f t="shared" si="15"/>
        <v>10200</v>
      </c>
      <c r="E81" s="2">
        <f t="shared" si="2"/>
        <v>200</v>
      </c>
      <c r="F81" s="4">
        <f>IF(M81&lt;&gt;"",F80+(C81-C80)*D81/G81,F80)</f>
        <v>1080.5714285714287</v>
      </c>
      <c r="G81">
        <f t="shared" si="3"/>
        <v>7</v>
      </c>
      <c r="H81" s="4">
        <f t="shared" si="14"/>
        <v>8364</v>
      </c>
      <c r="I81" s="4">
        <f t="shared" si="12"/>
        <v>9224.3902439024387</v>
      </c>
      <c r="J81" s="4">
        <f t="shared" si="10"/>
        <v>114.28571428571433</v>
      </c>
      <c r="K81" s="20">
        <f t="shared" si="11"/>
        <v>0.10576414595452145</v>
      </c>
      <c r="L81" s="5" t="str">
        <f>IFERROR(HLOOKUP(M81,$3:$4,2,0),"")</f>
        <v/>
      </c>
      <c r="M81" s="5" t="str">
        <f>IFERROR(HLOOKUP(D81,$8:$9,2,0),"")</f>
        <v/>
      </c>
      <c r="N81" t="str">
        <f>IFERROR(HLOOKUP(M81,$9:$11,3,0),"")</f>
        <v/>
      </c>
      <c r="O81" s="1" t="str">
        <f t="shared" si="5"/>
        <v/>
      </c>
      <c r="P81">
        <f t="shared" si="6"/>
        <v>0.6</v>
      </c>
    </row>
    <row r="82" spans="1:16" x14ac:dyDescent="0.25">
      <c r="A82" t="s">
        <v>7</v>
      </c>
      <c r="B82" s="15">
        <f t="shared" si="7"/>
        <v>0.1</v>
      </c>
      <c r="C82" s="6">
        <f>IF(M82&lt;&gt;"",B82*O82+C81,C81)</f>
        <v>0.82000000000000006</v>
      </c>
      <c r="D82" s="2">
        <f t="shared" si="15"/>
        <v>10300</v>
      </c>
      <c r="E82" s="2">
        <f t="shared" si="2"/>
        <v>300</v>
      </c>
      <c r="F82" s="4">
        <f>IF(M82&lt;&gt;"",F81+(C82-C81)*D82/G82,F81)</f>
        <v>1080.5714285714287</v>
      </c>
      <c r="G82">
        <f t="shared" si="3"/>
        <v>7</v>
      </c>
      <c r="H82" s="4">
        <f t="shared" si="14"/>
        <v>8446</v>
      </c>
      <c r="I82" s="4">
        <f t="shared" si="12"/>
        <v>9224.3902439024387</v>
      </c>
      <c r="J82" s="4">
        <f t="shared" si="10"/>
        <v>126.00000000000004</v>
      </c>
      <c r="K82" s="20">
        <f t="shared" si="11"/>
        <v>0.11660497091485988</v>
      </c>
      <c r="L82" s="5" t="str">
        <f>IFERROR(HLOOKUP(M82,$3:$4,2,0),"")</f>
        <v/>
      </c>
      <c r="M82" s="5" t="str">
        <f>IFERROR(HLOOKUP(D82,$8:$9,2,0),"")</f>
        <v/>
      </c>
      <c r="N82" t="str">
        <f>IFERROR(HLOOKUP(M82,$9:$11,3,0),"")</f>
        <v/>
      </c>
      <c r="O82" s="1" t="str">
        <f t="shared" si="5"/>
        <v/>
      </c>
      <c r="P82">
        <f t="shared" si="6"/>
        <v>0.6</v>
      </c>
    </row>
    <row r="83" spans="1:16" x14ac:dyDescent="0.25">
      <c r="A83" t="s">
        <v>7</v>
      </c>
      <c r="B83" s="15">
        <f t="shared" si="7"/>
        <v>0.1</v>
      </c>
      <c r="C83" s="6">
        <f>IF(M83&lt;&gt;"",B83*O83+C82,C82)</f>
        <v>0.82000000000000006</v>
      </c>
      <c r="D83" s="2">
        <f t="shared" si="15"/>
        <v>10400</v>
      </c>
      <c r="E83" s="2">
        <f t="shared" si="2"/>
        <v>400</v>
      </c>
      <c r="F83" s="4">
        <f>IF(M83&lt;&gt;"",F82+(C83-C82)*D83/G83,F82)</f>
        <v>1080.5714285714287</v>
      </c>
      <c r="G83">
        <f t="shared" si="3"/>
        <v>7</v>
      </c>
      <c r="H83" s="4">
        <f t="shared" si="14"/>
        <v>8528</v>
      </c>
      <c r="I83" s="4">
        <f t="shared" si="12"/>
        <v>9224.3902439024387</v>
      </c>
      <c r="J83" s="4">
        <f t="shared" si="10"/>
        <v>137.71428571428575</v>
      </c>
      <c r="K83" s="20">
        <f t="shared" si="11"/>
        <v>0.12744579587519833</v>
      </c>
      <c r="L83" s="5" t="str">
        <f>IFERROR(HLOOKUP(M83,$3:$4,2,0),"")</f>
        <v/>
      </c>
      <c r="M83" s="5" t="str">
        <f>IFERROR(HLOOKUP(D83,$8:$9,2,0),"")</f>
        <v/>
      </c>
      <c r="N83" t="str">
        <f>IFERROR(HLOOKUP(M83,$9:$11,3,0),"")</f>
        <v/>
      </c>
      <c r="O83" s="1" t="str">
        <f t="shared" si="5"/>
        <v/>
      </c>
      <c r="P83">
        <f t="shared" si="6"/>
        <v>0.6</v>
      </c>
    </row>
    <row r="84" spans="1:16" x14ac:dyDescent="0.25">
      <c r="A84" t="s">
        <v>7</v>
      </c>
      <c r="B84" s="15">
        <f t="shared" si="7"/>
        <v>0.1</v>
      </c>
      <c r="C84" s="6">
        <f>IF(M84&lt;&gt;"",B84*O84+C83,C83)</f>
        <v>0.82000000000000006</v>
      </c>
      <c r="D84" s="2">
        <f t="shared" si="15"/>
        <v>10500</v>
      </c>
      <c r="E84" s="2">
        <f t="shared" ref="E84:E147" si="16">D84-$D$19</f>
        <v>500</v>
      </c>
      <c r="F84" s="4">
        <f>IF(M84&lt;&gt;"",F83+(C84-C83)*D84/G84,F83)</f>
        <v>1080.5714285714287</v>
      </c>
      <c r="G84">
        <f t="shared" ref="G84:G147" si="17">$H$16</f>
        <v>7</v>
      </c>
      <c r="H84" s="4">
        <f t="shared" si="14"/>
        <v>8610</v>
      </c>
      <c r="I84" s="4">
        <f t="shared" si="12"/>
        <v>9224.3902439024387</v>
      </c>
      <c r="J84" s="4">
        <f t="shared" si="10"/>
        <v>149.4285714285715</v>
      </c>
      <c r="K84" s="20">
        <f t="shared" si="11"/>
        <v>0.13828662083553681</v>
      </c>
      <c r="L84" s="5" t="str">
        <f>IFERROR(HLOOKUP(M84,$3:$4,2,0),"")</f>
        <v/>
      </c>
      <c r="M84" s="5" t="str">
        <f>IFERROR(HLOOKUP(D84,$8:$9,2,0),"")</f>
        <v/>
      </c>
      <c r="N84" t="str">
        <f>IFERROR(HLOOKUP(M84,$9:$11,3,0),"")</f>
        <v/>
      </c>
      <c r="O84" s="1" t="str">
        <f t="shared" ref="O84:O147" si="18">IFERROR(P84*N84,"")</f>
        <v/>
      </c>
      <c r="P84">
        <f t="shared" ref="P84:P147" si="19">0.6</f>
        <v>0.6</v>
      </c>
    </row>
    <row r="85" spans="1:16" x14ac:dyDescent="0.25">
      <c r="A85" t="s">
        <v>7</v>
      </c>
      <c r="B85" s="15">
        <f t="shared" ref="B85:B148" si="20">B84</f>
        <v>0.1</v>
      </c>
      <c r="C85" s="6">
        <f>IF(M85&lt;&gt;"",B85*O85+C84,C84)</f>
        <v>0.82000000000000006</v>
      </c>
      <c r="D85" s="2">
        <f t="shared" si="15"/>
        <v>10600</v>
      </c>
      <c r="E85" s="2">
        <f t="shared" si="16"/>
        <v>600</v>
      </c>
      <c r="F85" s="4">
        <f>IF(M85&lt;&gt;"",F84+(C85-C84)*D85/G85,F84)</f>
        <v>1080.5714285714287</v>
      </c>
      <c r="G85">
        <f t="shared" si="17"/>
        <v>7</v>
      </c>
      <c r="H85" s="4">
        <f t="shared" si="14"/>
        <v>8692</v>
      </c>
      <c r="I85" s="4">
        <f t="shared" si="12"/>
        <v>9224.3902439024387</v>
      </c>
      <c r="J85" s="4">
        <f t="shared" ref="J85:J148" si="21">(D85-I85)*C85/G85</f>
        <v>161.1428571428572</v>
      </c>
      <c r="K85" s="20">
        <f t="shared" ref="K85:K148" si="22">J85/F85</f>
        <v>0.14912744579587522</v>
      </c>
      <c r="L85" s="5" t="str">
        <f>IFERROR(HLOOKUP(M85,$3:$4,2,0),"")</f>
        <v/>
      </c>
      <c r="M85" s="5" t="str">
        <f>IFERROR(HLOOKUP(D85,$8:$9,2,0),"")</f>
        <v/>
      </c>
      <c r="N85" t="str">
        <f>IFERROR(HLOOKUP(M85,$9:$11,3,0),"")</f>
        <v/>
      </c>
      <c r="O85" s="1" t="str">
        <f t="shared" si="18"/>
        <v/>
      </c>
      <c r="P85">
        <f t="shared" si="19"/>
        <v>0.6</v>
      </c>
    </row>
    <row r="86" spans="1:16" x14ac:dyDescent="0.25">
      <c r="A86" t="s">
        <v>7</v>
      </c>
      <c r="B86" s="15">
        <f t="shared" si="20"/>
        <v>0.1</v>
      </c>
      <c r="C86" s="6">
        <f>IF(M86&lt;&gt;"",B86*O86+C85,C85)</f>
        <v>0.82000000000000006</v>
      </c>
      <c r="D86" s="2">
        <f t="shared" si="15"/>
        <v>10700</v>
      </c>
      <c r="E86" s="2">
        <f t="shared" si="16"/>
        <v>700</v>
      </c>
      <c r="F86" s="4">
        <f>IF(M86&lt;&gt;"",F85+(C86-C85)*D86/G86,F85)</f>
        <v>1080.5714285714287</v>
      </c>
      <c r="G86">
        <f t="shared" si="17"/>
        <v>7</v>
      </c>
      <c r="H86" s="4">
        <f t="shared" si="14"/>
        <v>8774</v>
      </c>
      <c r="I86" s="4">
        <f t="shared" si="12"/>
        <v>9224.3902439024387</v>
      </c>
      <c r="J86" s="4">
        <f t="shared" si="21"/>
        <v>172.85714285714292</v>
      </c>
      <c r="K86" s="20">
        <f t="shared" si="22"/>
        <v>0.1599682707562137</v>
      </c>
      <c r="L86" s="5" t="str">
        <f>IFERROR(HLOOKUP(M86,$3:$4,2,0),"")</f>
        <v/>
      </c>
      <c r="M86" s="5" t="str">
        <f>IFERROR(HLOOKUP(D86,$8:$9,2,0),"")</f>
        <v/>
      </c>
      <c r="N86" t="str">
        <f>IFERROR(HLOOKUP(M86,$9:$11,3,0),"")</f>
        <v/>
      </c>
      <c r="O86" s="1" t="str">
        <f t="shared" si="18"/>
        <v/>
      </c>
      <c r="P86">
        <f t="shared" si="19"/>
        <v>0.6</v>
      </c>
    </row>
    <row r="87" spans="1:16" x14ac:dyDescent="0.25">
      <c r="A87" t="s">
        <v>7</v>
      </c>
      <c r="B87" s="15">
        <f t="shared" si="20"/>
        <v>0.1</v>
      </c>
      <c r="C87" s="6">
        <f>IF(M87&lt;&gt;"",B87*O87+C86,C86)</f>
        <v>0.82000000000000006</v>
      </c>
      <c r="D87" s="2">
        <f t="shared" si="15"/>
        <v>10800</v>
      </c>
      <c r="E87" s="2">
        <f t="shared" si="16"/>
        <v>800</v>
      </c>
      <c r="F87" s="4">
        <f>IF(M87&lt;&gt;"",F86+(C87-C86)*D87/G87,F86)</f>
        <v>1080.5714285714287</v>
      </c>
      <c r="G87">
        <f t="shared" si="17"/>
        <v>7</v>
      </c>
      <c r="H87" s="4">
        <f t="shared" si="14"/>
        <v>8856</v>
      </c>
      <c r="I87" s="4">
        <f t="shared" si="12"/>
        <v>9224.3902439024387</v>
      </c>
      <c r="J87" s="4">
        <f t="shared" si="21"/>
        <v>184.57142857142864</v>
      </c>
      <c r="K87" s="20">
        <f t="shared" si="22"/>
        <v>0.17080909571655215</v>
      </c>
      <c r="L87" s="5" t="str">
        <f>IFERROR(HLOOKUP(M87,$3:$4,2,0),"")</f>
        <v/>
      </c>
      <c r="M87" s="5" t="str">
        <f>IFERROR(HLOOKUP(D87,$8:$9,2,0),"")</f>
        <v/>
      </c>
      <c r="N87" t="str">
        <f>IFERROR(HLOOKUP(M87,$9:$11,3,0),"")</f>
        <v/>
      </c>
      <c r="O87" s="1" t="str">
        <f t="shared" si="18"/>
        <v/>
      </c>
      <c r="P87">
        <f t="shared" si="19"/>
        <v>0.6</v>
      </c>
    </row>
    <row r="88" spans="1:16" x14ac:dyDescent="0.25">
      <c r="A88" t="s">
        <v>7</v>
      </c>
      <c r="B88" s="15">
        <f t="shared" si="20"/>
        <v>0.1</v>
      </c>
      <c r="C88" s="6">
        <f>IF(M88&lt;&gt;"",B88*O88+C87,C87)</f>
        <v>0.82000000000000006</v>
      </c>
      <c r="D88" s="2">
        <f t="shared" si="15"/>
        <v>10900</v>
      </c>
      <c r="E88" s="2">
        <f t="shared" si="16"/>
        <v>900</v>
      </c>
      <c r="F88" s="4">
        <f>IF(M88&lt;&gt;"",F87+(C88-C87)*D88/G88,F87)</f>
        <v>1080.5714285714287</v>
      </c>
      <c r="G88">
        <f t="shared" si="17"/>
        <v>7</v>
      </c>
      <c r="H88" s="4">
        <f t="shared" si="14"/>
        <v>8938</v>
      </c>
      <c r="I88" s="4">
        <f t="shared" si="12"/>
        <v>9224.3902439024387</v>
      </c>
      <c r="J88" s="4">
        <f t="shared" si="21"/>
        <v>196.28571428571436</v>
      </c>
      <c r="K88" s="20">
        <f t="shared" si="22"/>
        <v>0.18164992067689059</v>
      </c>
      <c r="L88" s="5" t="str">
        <f>IFERROR(HLOOKUP(M88,$3:$4,2,0),"")</f>
        <v/>
      </c>
      <c r="M88" s="5" t="str">
        <f>IFERROR(HLOOKUP(D88,$8:$9,2,0),"")</f>
        <v/>
      </c>
      <c r="N88" t="str">
        <f>IFERROR(HLOOKUP(M88,$9:$11,3,0),"")</f>
        <v/>
      </c>
      <c r="O88" s="1" t="str">
        <f t="shared" si="18"/>
        <v/>
      </c>
      <c r="P88">
        <f t="shared" si="19"/>
        <v>0.6</v>
      </c>
    </row>
    <row r="89" spans="1:16" x14ac:dyDescent="0.25">
      <c r="A89" t="s">
        <v>7</v>
      </c>
      <c r="B89" s="15">
        <f t="shared" si="20"/>
        <v>0.1</v>
      </c>
      <c r="C89" s="6">
        <f>IF(M89&lt;&gt;"",B89*O89+C88,C88)</f>
        <v>0.82000000000000006</v>
      </c>
      <c r="D89" s="2">
        <f t="shared" si="15"/>
        <v>11000</v>
      </c>
      <c r="E89" s="2">
        <f t="shared" si="16"/>
        <v>1000</v>
      </c>
      <c r="F89" s="4">
        <f>IF(M89&lt;&gt;"",F88+(C89-C88)*D89/G89,F88)</f>
        <v>1080.5714285714287</v>
      </c>
      <c r="G89">
        <f t="shared" si="17"/>
        <v>7</v>
      </c>
      <c r="H89" s="4">
        <f t="shared" si="14"/>
        <v>9020</v>
      </c>
      <c r="I89" s="4">
        <f t="shared" si="12"/>
        <v>9224.3902439024387</v>
      </c>
      <c r="J89" s="4">
        <f t="shared" si="21"/>
        <v>208.00000000000006</v>
      </c>
      <c r="K89" s="20">
        <f t="shared" si="22"/>
        <v>0.19249074563722901</v>
      </c>
      <c r="L89" s="5" t="str">
        <f>IFERROR(HLOOKUP(M89,$3:$4,2,0),"")</f>
        <v/>
      </c>
      <c r="M89" s="5" t="str">
        <f>IFERROR(HLOOKUP(D89,$8:$9,2,0),"")</f>
        <v/>
      </c>
      <c r="N89" t="str">
        <f>IFERROR(HLOOKUP(M89,$9:$11,3,0),"")</f>
        <v/>
      </c>
      <c r="O89" s="1" t="str">
        <f t="shared" si="18"/>
        <v/>
      </c>
      <c r="P89">
        <f t="shared" si="19"/>
        <v>0.6</v>
      </c>
    </row>
    <row r="90" spans="1:16" x14ac:dyDescent="0.25">
      <c r="A90" t="s">
        <v>7</v>
      </c>
      <c r="B90" s="15">
        <f t="shared" si="20"/>
        <v>0.1</v>
      </c>
      <c r="C90" s="6">
        <f>IF(M90&lt;&gt;"",B90*O90+C89,C89)</f>
        <v>0.82000000000000006</v>
      </c>
      <c r="D90" s="2">
        <f t="shared" si="15"/>
        <v>11100</v>
      </c>
      <c r="E90" s="2">
        <f t="shared" si="16"/>
        <v>1100</v>
      </c>
      <c r="F90" s="4">
        <f>IF(M90&lt;&gt;"",F89+(C90-C89)*D90/G90,F89)</f>
        <v>1080.5714285714287</v>
      </c>
      <c r="G90">
        <f t="shared" si="17"/>
        <v>7</v>
      </c>
      <c r="H90" s="4">
        <f t="shared" si="14"/>
        <v>9102</v>
      </c>
      <c r="I90" s="4">
        <f t="shared" si="12"/>
        <v>9224.3902439024387</v>
      </c>
      <c r="J90" s="4">
        <f t="shared" si="21"/>
        <v>219.71428571428578</v>
      </c>
      <c r="K90" s="20">
        <f t="shared" si="22"/>
        <v>0.20333157059756746</v>
      </c>
      <c r="L90" s="5" t="str">
        <f>IFERROR(HLOOKUP(M90,$3:$4,2,0),"")</f>
        <v/>
      </c>
      <c r="M90" s="5" t="str">
        <f>IFERROR(HLOOKUP(D90,$8:$9,2,0),"")</f>
        <v/>
      </c>
      <c r="N90" t="str">
        <f>IFERROR(HLOOKUP(M90,$9:$11,3,0),"")</f>
        <v/>
      </c>
      <c r="O90" s="1" t="str">
        <f t="shared" si="18"/>
        <v/>
      </c>
      <c r="P90">
        <f t="shared" si="19"/>
        <v>0.6</v>
      </c>
    </row>
    <row r="91" spans="1:16" x14ac:dyDescent="0.25">
      <c r="A91" t="s">
        <v>7</v>
      </c>
      <c r="B91" s="15">
        <f t="shared" si="20"/>
        <v>0.1</v>
      </c>
      <c r="C91" s="6">
        <f>IF(M91&lt;&gt;"",B91*O91+C90,C90)</f>
        <v>0.82000000000000006</v>
      </c>
      <c r="D91" s="2">
        <f t="shared" si="15"/>
        <v>11200</v>
      </c>
      <c r="E91" s="2">
        <f t="shared" si="16"/>
        <v>1200</v>
      </c>
      <c r="F91" s="4">
        <f>IF(M91&lt;&gt;"",F90+(C91-C90)*D91/G91,F90)</f>
        <v>1080.5714285714287</v>
      </c>
      <c r="G91">
        <f t="shared" si="17"/>
        <v>7</v>
      </c>
      <c r="H91" s="4">
        <f t="shared" si="14"/>
        <v>9184</v>
      </c>
      <c r="I91" s="4">
        <f t="shared" si="12"/>
        <v>9224.3902439024387</v>
      </c>
      <c r="J91" s="4">
        <f t="shared" si="21"/>
        <v>231.4285714285715</v>
      </c>
      <c r="K91" s="20">
        <f t="shared" si="22"/>
        <v>0.21417239555790593</v>
      </c>
      <c r="L91" s="5" t="str">
        <f>IFERROR(HLOOKUP(M91,$3:$4,2,0),"")</f>
        <v/>
      </c>
      <c r="M91" s="5" t="str">
        <f>IFERROR(HLOOKUP(D91,$8:$9,2,0),"")</f>
        <v/>
      </c>
      <c r="N91" t="str">
        <f>IFERROR(HLOOKUP(M91,$9:$11,3,0),"")</f>
        <v/>
      </c>
      <c r="O91" s="1" t="str">
        <f t="shared" si="18"/>
        <v/>
      </c>
      <c r="P91">
        <f t="shared" si="19"/>
        <v>0.6</v>
      </c>
    </row>
    <row r="92" spans="1:16" x14ac:dyDescent="0.25">
      <c r="A92" t="s">
        <v>7</v>
      </c>
      <c r="B92" s="15">
        <f t="shared" si="20"/>
        <v>0.1</v>
      </c>
      <c r="C92" s="6">
        <f>IF(M92&lt;&gt;"",B92*O92+C91,C91)</f>
        <v>0.82000000000000006</v>
      </c>
      <c r="D92" s="2">
        <f t="shared" si="15"/>
        <v>11300</v>
      </c>
      <c r="E92" s="2">
        <f t="shared" si="16"/>
        <v>1300</v>
      </c>
      <c r="F92" s="4">
        <f>IF(M92&lt;&gt;"",F91+(C92-C91)*D92/G92,F91)</f>
        <v>1080.5714285714287</v>
      </c>
      <c r="G92">
        <f t="shared" si="17"/>
        <v>7</v>
      </c>
      <c r="H92" s="4">
        <f t="shared" si="14"/>
        <v>9266</v>
      </c>
      <c r="I92" s="4">
        <f t="shared" si="12"/>
        <v>9224.3902439024387</v>
      </c>
      <c r="J92" s="4">
        <f t="shared" si="21"/>
        <v>243.1428571428572</v>
      </c>
      <c r="K92" s="20">
        <f t="shared" si="22"/>
        <v>0.22501322051824435</v>
      </c>
      <c r="L92" s="5" t="str">
        <f>IFERROR(HLOOKUP(M92,$3:$4,2,0),"")</f>
        <v/>
      </c>
      <c r="M92" s="5" t="str">
        <f>IFERROR(HLOOKUP(D92,$8:$9,2,0),"")</f>
        <v/>
      </c>
      <c r="N92" t="str">
        <f>IFERROR(HLOOKUP(M92,$9:$11,3,0),"")</f>
        <v/>
      </c>
      <c r="O92" s="1" t="str">
        <f t="shared" si="18"/>
        <v/>
      </c>
      <c r="P92">
        <f t="shared" si="19"/>
        <v>0.6</v>
      </c>
    </row>
    <row r="93" spans="1:16" x14ac:dyDescent="0.25">
      <c r="A93" t="s">
        <v>7</v>
      </c>
      <c r="B93" s="15">
        <f t="shared" si="20"/>
        <v>0.1</v>
      </c>
      <c r="C93" s="6">
        <f>IF(M93&lt;&gt;"",B93*O93+C92,C92)</f>
        <v>0.82000000000000006</v>
      </c>
      <c r="D93" s="2">
        <f t="shared" si="15"/>
        <v>11400</v>
      </c>
      <c r="E93" s="2">
        <f t="shared" si="16"/>
        <v>1400</v>
      </c>
      <c r="F93" s="4">
        <f>IF(M93&lt;&gt;"",F92+(C93-C92)*D93/G93,F92)</f>
        <v>1080.5714285714287</v>
      </c>
      <c r="G93">
        <f t="shared" si="17"/>
        <v>7</v>
      </c>
      <c r="H93" s="4">
        <f t="shared" si="14"/>
        <v>9348</v>
      </c>
      <c r="I93" s="4">
        <f t="shared" si="12"/>
        <v>9224.3902439024387</v>
      </c>
      <c r="J93" s="4">
        <f t="shared" si="21"/>
        <v>254.85714285714292</v>
      </c>
      <c r="K93" s="20">
        <f t="shared" si="22"/>
        <v>0.2358540454785828</v>
      </c>
      <c r="L93" s="5" t="str">
        <f>IFERROR(HLOOKUP(M93,$3:$4,2,0),"")</f>
        <v/>
      </c>
      <c r="M93" s="5" t="str">
        <f>IFERROR(HLOOKUP(D93,$8:$9,2,0),"")</f>
        <v/>
      </c>
      <c r="N93" t="str">
        <f>IFERROR(HLOOKUP(M93,$9:$11,3,0),"")</f>
        <v/>
      </c>
      <c r="O93" s="1" t="str">
        <f t="shared" si="18"/>
        <v/>
      </c>
      <c r="P93">
        <f t="shared" si="19"/>
        <v>0.6</v>
      </c>
    </row>
    <row r="94" spans="1:16" x14ac:dyDescent="0.25">
      <c r="A94" t="s">
        <v>7</v>
      </c>
      <c r="B94" s="15">
        <f t="shared" si="20"/>
        <v>0.1</v>
      </c>
      <c r="C94" s="6">
        <f>IF(M94&lt;&gt;"",B94*O94+C93,C93)</f>
        <v>0.82000000000000006</v>
      </c>
      <c r="D94" s="2">
        <f t="shared" si="15"/>
        <v>11500</v>
      </c>
      <c r="E94" s="2">
        <f t="shared" si="16"/>
        <v>1500</v>
      </c>
      <c r="F94" s="4">
        <f>IF(M94&lt;&gt;"",F93+(C94-C93)*D94/G94,F93)</f>
        <v>1080.5714285714287</v>
      </c>
      <c r="G94">
        <f t="shared" si="17"/>
        <v>7</v>
      </c>
      <c r="H94" s="4">
        <f t="shared" si="14"/>
        <v>9430</v>
      </c>
      <c r="I94" s="4">
        <f t="shared" si="12"/>
        <v>9224.3902439024387</v>
      </c>
      <c r="J94" s="4">
        <f t="shared" si="21"/>
        <v>266.57142857142861</v>
      </c>
      <c r="K94" s="20">
        <f t="shared" si="22"/>
        <v>0.24669487043892122</v>
      </c>
      <c r="L94" s="5" t="str">
        <f>IFERROR(HLOOKUP(M94,$3:$4,2,0),"")</f>
        <v/>
      </c>
      <c r="M94" s="5" t="str">
        <f>IFERROR(HLOOKUP(D94,$8:$9,2,0),"")</f>
        <v/>
      </c>
      <c r="N94" t="str">
        <f>IFERROR(HLOOKUP(M94,$9:$11,3,0),"")</f>
        <v/>
      </c>
      <c r="O94" s="1" t="str">
        <f t="shared" si="18"/>
        <v/>
      </c>
      <c r="P94">
        <f t="shared" si="19"/>
        <v>0.6</v>
      </c>
    </row>
    <row r="95" spans="1:16" x14ac:dyDescent="0.25">
      <c r="A95" t="s">
        <v>7</v>
      </c>
      <c r="B95" s="15">
        <f t="shared" si="20"/>
        <v>0.1</v>
      </c>
      <c r="C95" s="6">
        <f>IF(M95&lt;&gt;"",B95*O95+C94,C94)</f>
        <v>0.82000000000000006</v>
      </c>
      <c r="D95" s="2">
        <f t="shared" si="15"/>
        <v>11600</v>
      </c>
      <c r="E95" s="2">
        <f t="shared" si="16"/>
        <v>1600</v>
      </c>
      <c r="F95" s="4">
        <f>IF(M95&lt;&gt;"",F94+(C95-C94)*D95/G95,F94)</f>
        <v>1080.5714285714287</v>
      </c>
      <c r="G95">
        <f t="shared" si="17"/>
        <v>7</v>
      </c>
      <c r="H95" s="4">
        <f t="shared" si="14"/>
        <v>9512</v>
      </c>
      <c r="I95" s="4">
        <f t="shared" si="12"/>
        <v>9224.3902439024387</v>
      </c>
      <c r="J95" s="4">
        <f t="shared" si="21"/>
        <v>278.28571428571433</v>
      </c>
      <c r="K95" s="20">
        <f t="shared" si="22"/>
        <v>0.25753569539925969</v>
      </c>
      <c r="L95" s="5" t="str">
        <f>IFERROR(HLOOKUP(M95,$3:$4,2,0),"")</f>
        <v/>
      </c>
      <c r="M95" s="5" t="str">
        <f>IFERROR(HLOOKUP(D95,$8:$9,2,0),"")</f>
        <v/>
      </c>
      <c r="N95" t="str">
        <f>IFERROR(HLOOKUP(M95,$9:$11,3,0),"")</f>
        <v/>
      </c>
      <c r="O95" s="1" t="str">
        <f t="shared" si="18"/>
        <v/>
      </c>
      <c r="P95">
        <f t="shared" si="19"/>
        <v>0.6</v>
      </c>
    </row>
    <row r="96" spans="1:16" x14ac:dyDescent="0.25">
      <c r="A96" t="s">
        <v>7</v>
      </c>
      <c r="B96" s="15">
        <f t="shared" si="20"/>
        <v>0.1</v>
      </c>
      <c r="C96" s="6">
        <f>IF(M96&lt;&gt;"",B96*O96+C95,C95)</f>
        <v>0.82000000000000006</v>
      </c>
      <c r="D96" s="2">
        <f t="shared" si="15"/>
        <v>11700</v>
      </c>
      <c r="E96" s="2">
        <f t="shared" si="16"/>
        <v>1700</v>
      </c>
      <c r="F96" s="4">
        <f>IF(M96&lt;&gt;"",F95+(C96-C95)*D96/G96,F95)</f>
        <v>1080.5714285714287</v>
      </c>
      <c r="G96">
        <f t="shared" si="17"/>
        <v>7</v>
      </c>
      <c r="H96" s="4">
        <f t="shared" si="14"/>
        <v>9594</v>
      </c>
      <c r="I96" s="4">
        <f t="shared" si="12"/>
        <v>9224.3902439024387</v>
      </c>
      <c r="J96" s="4">
        <f t="shared" si="21"/>
        <v>290.00000000000006</v>
      </c>
      <c r="K96" s="20">
        <f t="shared" si="22"/>
        <v>0.26837652035959814</v>
      </c>
      <c r="L96" s="5" t="str">
        <f>IFERROR(HLOOKUP(M96,$3:$4,2,0),"")</f>
        <v/>
      </c>
      <c r="M96" s="5" t="str">
        <f>IFERROR(HLOOKUP(D96,$8:$9,2,0),"")</f>
        <v/>
      </c>
      <c r="N96" t="str">
        <f>IFERROR(HLOOKUP(M96,$9:$11,3,0),"")</f>
        <v/>
      </c>
      <c r="O96" s="1" t="str">
        <f t="shared" si="18"/>
        <v/>
      </c>
      <c r="P96">
        <f t="shared" si="19"/>
        <v>0.6</v>
      </c>
    </row>
    <row r="97" spans="1:16" x14ac:dyDescent="0.25">
      <c r="A97" t="s">
        <v>7</v>
      </c>
      <c r="B97" s="15">
        <f t="shared" si="20"/>
        <v>0.1</v>
      </c>
      <c r="C97" s="6">
        <f>IF(M97&lt;&gt;"",B97*O97+C96,C96)</f>
        <v>0.82000000000000006</v>
      </c>
      <c r="D97" s="2">
        <f t="shared" si="15"/>
        <v>11800</v>
      </c>
      <c r="E97" s="2">
        <f t="shared" si="16"/>
        <v>1800</v>
      </c>
      <c r="F97" s="4">
        <f>IF(M97&lt;&gt;"",F96+(C97-C96)*D97/G97,F96)</f>
        <v>1080.5714285714287</v>
      </c>
      <c r="G97">
        <f t="shared" si="17"/>
        <v>7</v>
      </c>
      <c r="H97" s="4">
        <f t="shared" si="14"/>
        <v>9676</v>
      </c>
      <c r="I97" s="4">
        <f t="shared" si="12"/>
        <v>9224.3902439024387</v>
      </c>
      <c r="J97" s="4">
        <f t="shared" si="21"/>
        <v>301.71428571428578</v>
      </c>
      <c r="K97" s="20">
        <f t="shared" si="22"/>
        <v>0.27921734531993658</v>
      </c>
      <c r="L97" s="5" t="str">
        <f>IFERROR(HLOOKUP(M97,$3:$4,2,0),"")</f>
        <v/>
      </c>
      <c r="M97" s="5" t="str">
        <f>IFERROR(HLOOKUP(D97,$8:$9,2,0),"")</f>
        <v/>
      </c>
      <c r="N97" t="str">
        <f>IFERROR(HLOOKUP(M97,$9:$11,3,0),"")</f>
        <v/>
      </c>
      <c r="O97" s="1" t="str">
        <f t="shared" si="18"/>
        <v/>
      </c>
      <c r="P97">
        <f t="shared" si="19"/>
        <v>0.6</v>
      </c>
    </row>
    <row r="98" spans="1:16" x14ac:dyDescent="0.25">
      <c r="A98" t="s">
        <v>7</v>
      </c>
      <c r="B98" s="15">
        <f t="shared" si="20"/>
        <v>0.1</v>
      </c>
      <c r="C98" s="6">
        <f>IF(M98&lt;&gt;"",B98*O98+C97,C97)</f>
        <v>0.82000000000000006</v>
      </c>
      <c r="D98" s="2">
        <f t="shared" si="15"/>
        <v>11900</v>
      </c>
      <c r="E98" s="2">
        <f t="shared" si="16"/>
        <v>1900</v>
      </c>
      <c r="F98" s="4">
        <f>IF(M98&lt;&gt;"",F97+(C98-C97)*D98/G98,F97)</f>
        <v>1080.5714285714287</v>
      </c>
      <c r="G98">
        <f t="shared" si="17"/>
        <v>7</v>
      </c>
      <c r="H98" s="4">
        <f t="shared" si="14"/>
        <v>9758</v>
      </c>
      <c r="I98" s="4">
        <f t="shared" si="12"/>
        <v>9224.3902439024387</v>
      </c>
      <c r="J98" s="4">
        <f t="shared" si="21"/>
        <v>313.4285714285715</v>
      </c>
      <c r="K98" s="20">
        <f t="shared" si="22"/>
        <v>0.29005817028027503</v>
      </c>
      <c r="L98" s="5" t="str">
        <f>IFERROR(HLOOKUP(M98,$3:$4,2,0),"")</f>
        <v/>
      </c>
      <c r="M98" s="5" t="str">
        <f>IFERROR(HLOOKUP(D98,$8:$9,2,0),"")</f>
        <v/>
      </c>
      <c r="N98" t="str">
        <f>IFERROR(HLOOKUP(M98,$9:$11,3,0),"")</f>
        <v/>
      </c>
      <c r="O98" s="1" t="str">
        <f t="shared" si="18"/>
        <v/>
      </c>
      <c r="P98">
        <f t="shared" si="19"/>
        <v>0.6</v>
      </c>
    </row>
    <row r="99" spans="1:16" x14ac:dyDescent="0.25">
      <c r="A99" t="s">
        <v>7</v>
      </c>
      <c r="B99" s="15">
        <f t="shared" si="20"/>
        <v>0.1</v>
      </c>
      <c r="C99" s="6">
        <f>IF(M99&lt;&gt;"",B99*O99+C98,C98)</f>
        <v>0.82000000000000006</v>
      </c>
      <c r="D99" s="2">
        <f t="shared" si="15"/>
        <v>12000</v>
      </c>
      <c r="E99" s="2">
        <f t="shared" si="16"/>
        <v>2000</v>
      </c>
      <c r="F99" s="4">
        <f>IF(M99&lt;&gt;"",F98+(C99-C98)*D99/G99,F98)</f>
        <v>1080.5714285714287</v>
      </c>
      <c r="G99">
        <f t="shared" si="17"/>
        <v>7</v>
      </c>
      <c r="H99" s="4">
        <f t="shared" si="14"/>
        <v>9840</v>
      </c>
      <c r="I99" s="4">
        <f t="shared" si="12"/>
        <v>9224.3902439024387</v>
      </c>
      <c r="J99" s="4">
        <f t="shared" si="21"/>
        <v>325.14285714285722</v>
      </c>
      <c r="K99" s="20">
        <f t="shared" si="22"/>
        <v>0.30089899524061348</v>
      </c>
      <c r="L99" s="5" t="str">
        <f>IFERROR(HLOOKUP(M99,$3:$4,2,0),"")</f>
        <v/>
      </c>
      <c r="M99" s="5" t="str">
        <f>IFERROR(HLOOKUP(D99,$8:$9,2,0),"")</f>
        <v/>
      </c>
      <c r="N99" t="str">
        <f>IFERROR(HLOOKUP(M99,$9:$11,3,0),"")</f>
        <v/>
      </c>
      <c r="O99" s="1" t="str">
        <f t="shared" si="18"/>
        <v/>
      </c>
      <c r="P99">
        <f t="shared" si="19"/>
        <v>0.6</v>
      </c>
    </row>
    <row r="100" spans="1:16" x14ac:dyDescent="0.25">
      <c r="A100" t="s">
        <v>7</v>
      </c>
      <c r="B100" s="15">
        <f t="shared" si="20"/>
        <v>0.1</v>
      </c>
      <c r="C100" s="6">
        <f>IF(M100&lt;&gt;"",B100*O100+C99,C99)</f>
        <v>0.82000000000000006</v>
      </c>
      <c r="D100" s="2">
        <f t="shared" si="15"/>
        <v>12100</v>
      </c>
      <c r="E100" s="2">
        <f t="shared" si="16"/>
        <v>2100</v>
      </c>
      <c r="F100" s="4">
        <f>IF(M100&lt;&gt;"",F99+(C100-C99)*D100/G100,F99)</f>
        <v>1080.5714285714287</v>
      </c>
      <c r="G100">
        <f t="shared" si="17"/>
        <v>7</v>
      </c>
      <c r="H100" s="4">
        <f t="shared" si="14"/>
        <v>9922</v>
      </c>
      <c r="I100" s="4">
        <f t="shared" si="12"/>
        <v>9224.3902439024387</v>
      </c>
      <c r="J100" s="4">
        <f t="shared" si="21"/>
        <v>336.85714285714295</v>
      </c>
      <c r="K100" s="20">
        <f t="shared" si="22"/>
        <v>0.31173982020095192</v>
      </c>
      <c r="L100" s="5" t="str">
        <f>IFERROR(HLOOKUP(M100,$3:$4,2,0),"")</f>
        <v/>
      </c>
      <c r="M100" s="5" t="str">
        <f>IFERROR(HLOOKUP(D100,$8:$9,2,0),"")</f>
        <v/>
      </c>
      <c r="N100" t="str">
        <f>IFERROR(HLOOKUP(M100,$9:$11,3,0),"")</f>
        <v/>
      </c>
      <c r="O100" s="1" t="str">
        <f t="shared" si="18"/>
        <v/>
      </c>
      <c r="P100">
        <f t="shared" si="19"/>
        <v>0.6</v>
      </c>
    </row>
    <row r="101" spans="1:16" x14ac:dyDescent="0.25">
      <c r="A101" t="s">
        <v>7</v>
      </c>
      <c r="B101" s="15">
        <f t="shared" si="20"/>
        <v>0.1</v>
      </c>
      <c r="C101" s="6">
        <f>IF(M101&lt;&gt;"",B101*O101+C100,C100)</f>
        <v>0.82000000000000006</v>
      </c>
      <c r="D101" s="2">
        <f t="shared" si="15"/>
        <v>12200</v>
      </c>
      <c r="E101" s="2">
        <f t="shared" si="16"/>
        <v>2200</v>
      </c>
      <c r="F101" s="4">
        <f>IF(M101&lt;&gt;"",F100+(C101-C100)*D101/G101,F100)</f>
        <v>1080.5714285714287</v>
      </c>
      <c r="G101">
        <f t="shared" si="17"/>
        <v>7</v>
      </c>
      <c r="H101" s="4">
        <f t="shared" si="14"/>
        <v>10004</v>
      </c>
      <c r="I101" s="4">
        <f t="shared" si="12"/>
        <v>9224.3902439024387</v>
      </c>
      <c r="J101" s="4">
        <f t="shared" si="21"/>
        <v>348.57142857142861</v>
      </c>
      <c r="K101" s="20">
        <f t="shared" si="22"/>
        <v>0.32258064516129031</v>
      </c>
      <c r="L101" s="5" t="str">
        <f>IFERROR(HLOOKUP(M101,$3:$4,2,0),"")</f>
        <v/>
      </c>
      <c r="M101" s="5" t="str">
        <f>IFERROR(HLOOKUP(D101,$8:$9,2,0),"")</f>
        <v/>
      </c>
      <c r="N101" t="str">
        <f>IFERROR(HLOOKUP(M101,$9:$11,3,0),"")</f>
        <v/>
      </c>
      <c r="O101" s="1" t="str">
        <f t="shared" si="18"/>
        <v/>
      </c>
      <c r="P101">
        <f t="shared" si="19"/>
        <v>0.6</v>
      </c>
    </row>
    <row r="102" spans="1:16" x14ac:dyDescent="0.25">
      <c r="A102" t="s">
        <v>7</v>
      </c>
      <c r="B102" s="15">
        <f t="shared" si="20"/>
        <v>0.1</v>
      </c>
      <c r="C102" s="6">
        <f>IF(M102&lt;&gt;"",B102*O102+C101,C101)</f>
        <v>0.82000000000000006</v>
      </c>
      <c r="D102" s="2">
        <f t="shared" si="15"/>
        <v>12300</v>
      </c>
      <c r="E102" s="2">
        <f t="shared" si="16"/>
        <v>2300</v>
      </c>
      <c r="F102" s="4">
        <f>IF(M102&lt;&gt;"",F101+(C102-C101)*D102/G102,F101)</f>
        <v>1080.5714285714287</v>
      </c>
      <c r="G102">
        <f t="shared" si="17"/>
        <v>7</v>
      </c>
      <c r="H102" s="4">
        <f t="shared" si="14"/>
        <v>10086</v>
      </c>
      <c r="I102" s="4">
        <f t="shared" si="12"/>
        <v>9224.3902439024387</v>
      </c>
      <c r="J102" s="4">
        <f t="shared" si="21"/>
        <v>360.28571428571433</v>
      </c>
      <c r="K102" s="20">
        <f t="shared" si="22"/>
        <v>0.33342147012162876</v>
      </c>
      <c r="L102" s="5" t="str">
        <f>IFERROR(HLOOKUP(M102,$3:$4,2,0),"")</f>
        <v/>
      </c>
      <c r="M102" s="5" t="str">
        <f>IFERROR(HLOOKUP(D102,$8:$9,2,0),"")</f>
        <v/>
      </c>
      <c r="N102" t="str">
        <f>IFERROR(HLOOKUP(M102,$9:$11,3,0),"")</f>
        <v/>
      </c>
      <c r="O102" s="1" t="str">
        <f t="shared" si="18"/>
        <v/>
      </c>
      <c r="P102">
        <f t="shared" si="19"/>
        <v>0.6</v>
      </c>
    </row>
    <row r="103" spans="1:16" x14ac:dyDescent="0.25">
      <c r="A103" t="s">
        <v>7</v>
      </c>
      <c r="B103" s="15">
        <f t="shared" si="20"/>
        <v>0.1</v>
      </c>
      <c r="C103" s="6">
        <f>IF(M103&lt;&gt;"",B103*O103+C102,C102)</f>
        <v>0.82000000000000006</v>
      </c>
      <c r="D103" s="2">
        <f t="shared" si="15"/>
        <v>12400</v>
      </c>
      <c r="E103" s="2">
        <f t="shared" si="16"/>
        <v>2400</v>
      </c>
      <c r="F103" s="4">
        <f>IF(M103&lt;&gt;"",F102+(C103-C102)*D103/G103,F102)</f>
        <v>1080.5714285714287</v>
      </c>
      <c r="G103">
        <f t="shared" si="17"/>
        <v>7</v>
      </c>
      <c r="H103" s="4">
        <f t="shared" si="14"/>
        <v>10168</v>
      </c>
      <c r="I103" s="4">
        <f t="shared" si="12"/>
        <v>9224.3902439024387</v>
      </c>
      <c r="J103" s="4">
        <f t="shared" si="21"/>
        <v>372.00000000000006</v>
      </c>
      <c r="K103" s="20">
        <f t="shared" si="22"/>
        <v>0.34426229508196726</v>
      </c>
      <c r="L103" s="5" t="str">
        <f>IFERROR(HLOOKUP(M103,$3:$4,2,0),"")</f>
        <v/>
      </c>
      <c r="M103" s="5" t="str">
        <f>IFERROR(HLOOKUP(D103,$8:$9,2,0),"")</f>
        <v/>
      </c>
      <c r="N103" t="str">
        <f>IFERROR(HLOOKUP(M103,$9:$11,3,0),"")</f>
        <v/>
      </c>
      <c r="O103" s="1" t="str">
        <f t="shared" si="18"/>
        <v/>
      </c>
      <c r="P103">
        <f t="shared" si="19"/>
        <v>0.6</v>
      </c>
    </row>
    <row r="104" spans="1:16" x14ac:dyDescent="0.25">
      <c r="A104" t="s">
        <v>7</v>
      </c>
      <c r="B104" s="15">
        <f t="shared" si="20"/>
        <v>0.1</v>
      </c>
      <c r="C104" s="6">
        <f>IF(M104&lt;&gt;"",B104*O104+C103,C103)</f>
        <v>0.82000000000000006</v>
      </c>
      <c r="D104" s="2">
        <f t="shared" si="15"/>
        <v>12500</v>
      </c>
      <c r="E104" s="2">
        <f t="shared" si="16"/>
        <v>2500</v>
      </c>
      <c r="F104" s="4">
        <f>IF(M104&lt;&gt;"",F103+(C104-C103)*D104/G104,F103)</f>
        <v>1080.5714285714287</v>
      </c>
      <c r="G104">
        <f t="shared" si="17"/>
        <v>7</v>
      </c>
      <c r="H104" s="4">
        <f t="shared" si="14"/>
        <v>10250</v>
      </c>
      <c r="I104" s="4">
        <f t="shared" si="12"/>
        <v>9224.3902439024387</v>
      </c>
      <c r="J104" s="4">
        <f t="shared" si="21"/>
        <v>383.71428571428578</v>
      </c>
      <c r="K104" s="20">
        <f t="shared" si="22"/>
        <v>0.35510312004230571</v>
      </c>
      <c r="L104" s="5" t="str">
        <f>IFERROR(HLOOKUP(M104,$3:$4,2,0),"")</f>
        <v/>
      </c>
      <c r="M104" s="5" t="str">
        <f>IFERROR(HLOOKUP(D104,$8:$9,2,0),"")</f>
        <v/>
      </c>
      <c r="N104" t="str">
        <f>IFERROR(HLOOKUP(M104,$9:$11,3,0),"")</f>
        <v/>
      </c>
      <c r="O104" s="1" t="str">
        <f t="shared" si="18"/>
        <v/>
      </c>
      <c r="P104">
        <f t="shared" si="19"/>
        <v>0.6</v>
      </c>
    </row>
    <row r="105" spans="1:16" x14ac:dyDescent="0.25">
      <c r="A105" t="s">
        <v>7</v>
      </c>
      <c r="B105" s="15">
        <f t="shared" si="20"/>
        <v>0.1</v>
      </c>
      <c r="C105" s="6">
        <f>IF(M105&lt;&gt;"",B105*O105+C104,C104)</f>
        <v>0.82000000000000006</v>
      </c>
      <c r="D105" s="2">
        <f t="shared" si="15"/>
        <v>12600</v>
      </c>
      <c r="E105" s="2">
        <f t="shared" si="16"/>
        <v>2600</v>
      </c>
      <c r="F105" s="4">
        <f>IF(M105&lt;&gt;"",F104+(C105-C104)*D105/G105,F104)</f>
        <v>1080.5714285714287</v>
      </c>
      <c r="G105">
        <f t="shared" si="17"/>
        <v>7</v>
      </c>
      <c r="H105" s="4">
        <f t="shared" si="14"/>
        <v>10332</v>
      </c>
      <c r="I105" s="4">
        <f t="shared" ref="I105:I168" si="23">(I104*C104+D105*(C105-C104))/C105</f>
        <v>9224.3902439024387</v>
      </c>
      <c r="J105" s="4">
        <f t="shared" si="21"/>
        <v>395.4285714285715</v>
      </c>
      <c r="K105" s="20">
        <f t="shared" si="22"/>
        <v>0.36594394500264416</v>
      </c>
      <c r="L105" s="5" t="str">
        <f>IFERROR(HLOOKUP(M105,$3:$4,2,0),"")</f>
        <v/>
      </c>
      <c r="M105" s="5" t="str">
        <f>IFERROR(HLOOKUP(D105,$8:$9,2,0),"")</f>
        <v/>
      </c>
      <c r="N105" t="str">
        <f>IFERROR(HLOOKUP(M105,$9:$11,3,0),"")</f>
        <v/>
      </c>
      <c r="O105" s="1" t="str">
        <f t="shared" si="18"/>
        <v/>
      </c>
      <c r="P105">
        <f t="shared" si="19"/>
        <v>0.6</v>
      </c>
    </row>
    <row r="106" spans="1:16" x14ac:dyDescent="0.25">
      <c r="A106" t="s">
        <v>7</v>
      </c>
      <c r="B106" s="15">
        <f t="shared" si="20"/>
        <v>0.1</v>
      </c>
      <c r="C106" s="6">
        <f>IF(M106&lt;&gt;"",B106*O106+C105,C105)</f>
        <v>0.82000000000000006</v>
      </c>
      <c r="D106" s="2">
        <f t="shared" si="15"/>
        <v>12700</v>
      </c>
      <c r="E106" s="2">
        <f t="shared" si="16"/>
        <v>2700</v>
      </c>
      <c r="F106" s="4">
        <f>IF(M106&lt;&gt;"",F105+(C106-C105)*D106/G106,F105)</f>
        <v>1080.5714285714287</v>
      </c>
      <c r="G106">
        <f t="shared" si="17"/>
        <v>7</v>
      </c>
      <c r="H106" s="4">
        <f t="shared" si="14"/>
        <v>10414</v>
      </c>
      <c r="I106" s="4">
        <f t="shared" si="23"/>
        <v>9224.3902439024387</v>
      </c>
      <c r="J106" s="4">
        <f t="shared" si="21"/>
        <v>407.14285714285722</v>
      </c>
      <c r="K106" s="20">
        <f t="shared" si="22"/>
        <v>0.3767847699629826</v>
      </c>
      <c r="L106" s="5" t="str">
        <f>IFERROR(HLOOKUP(M106,$3:$4,2,0),"")</f>
        <v/>
      </c>
      <c r="M106" s="5" t="str">
        <f>IFERROR(HLOOKUP(D106,$8:$9,2,0),"")</f>
        <v/>
      </c>
      <c r="N106" t="str">
        <f>IFERROR(HLOOKUP(M106,$9:$11,3,0),"")</f>
        <v/>
      </c>
      <c r="O106" s="1" t="str">
        <f t="shared" si="18"/>
        <v/>
      </c>
      <c r="P106">
        <f t="shared" si="19"/>
        <v>0.6</v>
      </c>
    </row>
    <row r="107" spans="1:16" x14ac:dyDescent="0.25">
      <c r="A107" t="s">
        <v>7</v>
      </c>
      <c r="B107" s="15">
        <f t="shared" si="20"/>
        <v>0.1</v>
      </c>
      <c r="C107" s="6">
        <f>IF(M107&lt;&gt;"",B107*O107+C106,C106)</f>
        <v>0.82000000000000006</v>
      </c>
      <c r="D107" s="2">
        <f t="shared" si="15"/>
        <v>12800</v>
      </c>
      <c r="E107" s="2">
        <f t="shared" si="16"/>
        <v>2800</v>
      </c>
      <c r="F107" s="4">
        <f>IF(M107&lt;&gt;"",F106+(C107-C106)*D107/G107,F106)</f>
        <v>1080.5714285714287</v>
      </c>
      <c r="G107">
        <f t="shared" si="17"/>
        <v>7</v>
      </c>
      <c r="H107" s="4">
        <f t="shared" si="14"/>
        <v>10496</v>
      </c>
      <c r="I107" s="4">
        <f t="shared" si="23"/>
        <v>9224.3902439024387</v>
      </c>
      <c r="J107" s="4">
        <f t="shared" si="21"/>
        <v>418.85714285714295</v>
      </c>
      <c r="K107" s="20">
        <f t="shared" si="22"/>
        <v>0.38762559492332105</v>
      </c>
      <c r="L107" s="5" t="str">
        <f>IFERROR(HLOOKUP(M107,$3:$4,2,0),"")</f>
        <v/>
      </c>
      <c r="M107" s="5" t="str">
        <f>IFERROR(HLOOKUP(D107,$8:$9,2,0),"")</f>
        <v/>
      </c>
      <c r="N107" t="str">
        <f>IFERROR(HLOOKUP(M107,$9:$11,3,0),"")</f>
        <v/>
      </c>
      <c r="O107" s="1" t="str">
        <f t="shared" si="18"/>
        <v/>
      </c>
      <c r="P107">
        <f t="shared" si="19"/>
        <v>0.6</v>
      </c>
    </row>
    <row r="108" spans="1:16" x14ac:dyDescent="0.25">
      <c r="A108" t="s">
        <v>7</v>
      </c>
      <c r="B108" s="15">
        <f t="shared" si="20"/>
        <v>0.1</v>
      </c>
      <c r="C108" s="6">
        <f>IF(M108&lt;&gt;"",B108*O108+C107,C107)</f>
        <v>0.82000000000000006</v>
      </c>
      <c r="D108" s="2">
        <f t="shared" si="15"/>
        <v>12900</v>
      </c>
      <c r="E108" s="2">
        <f t="shared" si="16"/>
        <v>2900</v>
      </c>
      <c r="F108" s="4">
        <f>IF(M108&lt;&gt;"",F107+(C108-C107)*D108/G108,F107)</f>
        <v>1080.5714285714287</v>
      </c>
      <c r="G108">
        <f t="shared" si="17"/>
        <v>7</v>
      </c>
      <c r="H108" s="4">
        <f t="shared" si="14"/>
        <v>10578</v>
      </c>
      <c r="I108" s="4">
        <f t="shared" si="23"/>
        <v>9224.3902439024387</v>
      </c>
      <c r="J108" s="4">
        <f t="shared" si="21"/>
        <v>430.57142857142861</v>
      </c>
      <c r="K108" s="20">
        <f t="shared" si="22"/>
        <v>0.39846641988365944</v>
      </c>
      <c r="L108" s="5" t="str">
        <f>IFERROR(HLOOKUP(M108,$3:$4,2,0),"")</f>
        <v/>
      </c>
      <c r="M108" s="5" t="str">
        <f>IFERROR(HLOOKUP(D108,$8:$9,2,0),"")</f>
        <v/>
      </c>
      <c r="N108" t="str">
        <f>IFERROR(HLOOKUP(M108,$9:$11,3,0),"")</f>
        <v/>
      </c>
      <c r="O108" s="1" t="str">
        <f t="shared" si="18"/>
        <v/>
      </c>
      <c r="P108">
        <f t="shared" si="19"/>
        <v>0.6</v>
      </c>
    </row>
    <row r="109" spans="1:16" x14ac:dyDescent="0.25">
      <c r="A109" t="s">
        <v>7</v>
      </c>
      <c r="B109" s="15">
        <f t="shared" si="20"/>
        <v>0.1</v>
      </c>
      <c r="C109" s="6">
        <f>IF(M109&lt;&gt;"",B109*O109+C108,C108)</f>
        <v>0.82000000000000006</v>
      </c>
      <c r="D109" s="2">
        <f t="shared" si="15"/>
        <v>13000</v>
      </c>
      <c r="E109" s="2">
        <f t="shared" si="16"/>
        <v>3000</v>
      </c>
      <c r="F109" s="4">
        <f>IF(M109&lt;&gt;"",F108+(C109-C108)*D109/G109,F108)</f>
        <v>1080.5714285714287</v>
      </c>
      <c r="G109">
        <f t="shared" si="17"/>
        <v>7</v>
      </c>
      <c r="H109" s="4">
        <f t="shared" si="14"/>
        <v>10660</v>
      </c>
      <c r="I109" s="4">
        <f t="shared" si="23"/>
        <v>9224.3902439024387</v>
      </c>
      <c r="J109" s="4">
        <f t="shared" si="21"/>
        <v>442.28571428571433</v>
      </c>
      <c r="K109" s="20">
        <f t="shared" si="22"/>
        <v>0.40930724484399789</v>
      </c>
      <c r="L109" s="5" t="str">
        <f>IFERROR(HLOOKUP(M109,$3:$4,2,0),"")</f>
        <v/>
      </c>
      <c r="M109" s="5" t="str">
        <f>IFERROR(HLOOKUP(D109,$8:$9,2,0),"")</f>
        <v/>
      </c>
      <c r="N109" t="str">
        <f>IFERROR(HLOOKUP(M109,$9:$11,3,0),"")</f>
        <v/>
      </c>
      <c r="O109" s="1" t="str">
        <f t="shared" si="18"/>
        <v/>
      </c>
      <c r="P109">
        <f t="shared" si="19"/>
        <v>0.6</v>
      </c>
    </row>
    <row r="110" spans="1:16" x14ac:dyDescent="0.25">
      <c r="A110" t="s">
        <v>7</v>
      </c>
      <c r="B110" s="15">
        <f t="shared" si="20"/>
        <v>0.1</v>
      </c>
      <c r="C110" s="6">
        <f>IF(M110&lt;&gt;"",B110*O110+C109,C109)</f>
        <v>0.82000000000000006</v>
      </c>
      <c r="D110" s="2">
        <f t="shared" si="15"/>
        <v>13100</v>
      </c>
      <c r="E110" s="2">
        <f t="shared" si="16"/>
        <v>3100</v>
      </c>
      <c r="F110" s="4">
        <f>IF(M110&lt;&gt;"",F109+(C110-C109)*D110/G110,F109)</f>
        <v>1080.5714285714287</v>
      </c>
      <c r="G110">
        <f t="shared" si="17"/>
        <v>7</v>
      </c>
      <c r="H110" s="4">
        <f t="shared" si="14"/>
        <v>10742</v>
      </c>
      <c r="I110" s="4">
        <f t="shared" si="23"/>
        <v>9224.3902439024387</v>
      </c>
      <c r="J110" s="4">
        <f t="shared" si="21"/>
        <v>454.00000000000006</v>
      </c>
      <c r="K110" s="20">
        <f t="shared" si="22"/>
        <v>0.42014806980433633</v>
      </c>
      <c r="L110" s="5" t="str">
        <f>IFERROR(HLOOKUP(M110,$3:$4,2,0),"")</f>
        <v/>
      </c>
      <c r="M110" s="5" t="str">
        <f>IFERROR(HLOOKUP(D110,$8:$9,2,0),"")</f>
        <v/>
      </c>
      <c r="N110" t="str">
        <f>IFERROR(HLOOKUP(M110,$9:$11,3,0),"")</f>
        <v/>
      </c>
      <c r="O110" s="1" t="str">
        <f t="shared" si="18"/>
        <v/>
      </c>
      <c r="P110">
        <f t="shared" si="19"/>
        <v>0.6</v>
      </c>
    </row>
    <row r="111" spans="1:16" x14ac:dyDescent="0.25">
      <c r="A111" t="s">
        <v>7</v>
      </c>
      <c r="B111" s="15">
        <f t="shared" si="20"/>
        <v>0.1</v>
      </c>
      <c r="C111" s="6">
        <f>IF(M111&lt;&gt;"",B111*O111+C110,C110)</f>
        <v>0.82000000000000006</v>
      </c>
      <c r="D111" s="2">
        <f t="shared" si="15"/>
        <v>13200</v>
      </c>
      <c r="E111" s="2">
        <f t="shared" si="16"/>
        <v>3200</v>
      </c>
      <c r="F111" s="4">
        <f>IF(M111&lt;&gt;"",F110+(C111-C110)*D111/G111,F110)</f>
        <v>1080.5714285714287</v>
      </c>
      <c r="G111">
        <f t="shared" si="17"/>
        <v>7</v>
      </c>
      <c r="H111" s="4">
        <f t="shared" si="14"/>
        <v>10824</v>
      </c>
      <c r="I111" s="4">
        <f t="shared" si="23"/>
        <v>9224.3902439024387</v>
      </c>
      <c r="J111" s="4">
        <f t="shared" si="21"/>
        <v>465.71428571428578</v>
      </c>
      <c r="K111" s="20">
        <f t="shared" si="22"/>
        <v>0.43098889476467478</v>
      </c>
      <c r="L111" s="5" t="str">
        <f>IFERROR(HLOOKUP(M111,$3:$4,2,0),"")</f>
        <v/>
      </c>
      <c r="M111" s="5" t="str">
        <f>IFERROR(HLOOKUP(D111,$8:$9,2,0),"")</f>
        <v/>
      </c>
      <c r="N111" t="str">
        <f>IFERROR(HLOOKUP(M111,$9:$11,3,0),"")</f>
        <v/>
      </c>
      <c r="O111" s="1" t="str">
        <f t="shared" si="18"/>
        <v/>
      </c>
      <c r="P111">
        <f t="shared" si="19"/>
        <v>0.6</v>
      </c>
    </row>
    <row r="112" spans="1:16" x14ac:dyDescent="0.25">
      <c r="A112" t="s">
        <v>7</v>
      </c>
      <c r="B112" s="15">
        <f t="shared" si="20"/>
        <v>0.1</v>
      </c>
      <c r="C112" s="6">
        <f>IF(M112&lt;&gt;"",B112*O112+C111,C111)</f>
        <v>0.82000000000000006</v>
      </c>
      <c r="D112" s="2">
        <f t="shared" si="15"/>
        <v>13300</v>
      </c>
      <c r="E112" s="2">
        <f t="shared" si="16"/>
        <v>3300</v>
      </c>
      <c r="F112" s="4">
        <f>IF(M112&lt;&gt;"",F111+(C112-C111)*D112/G112,F111)</f>
        <v>1080.5714285714287</v>
      </c>
      <c r="G112">
        <f t="shared" si="17"/>
        <v>7</v>
      </c>
      <c r="H112" s="4">
        <f t="shared" si="14"/>
        <v>10906</v>
      </c>
      <c r="I112" s="4">
        <f t="shared" si="23"/>
        <v>9224.3902439024387</v>
      </c>
      <c r="J112" s="4">
        <f t="shared" si="21"/>
        <v>477.4285714285715</v>
      </c>
      <c r="K112" s="20">
        <f t="shared" si="22"/>
        <v>0.44182971972501323</v>
      </c>
      <c r="L112" s="5" t="str">
        <f>IFERROR(HLOOKUP(M112,$3:$4,2,0),"")</f>
        <v/>
      </c>
      <c r="M112" s="5" t="str">
        <f>IFERROR(HLOOKUP(D112,$8:$9,2,0),"")</f>
        <v/>
      </c>
      <c r="N112" t="str">
        <f>IFERROR(HLOOKUP(M112,$9:$11,3,0),"")</f>
        <v/>
      </c>
      <c r="O112" s="1" t="str">
        <f t="shared" si="18"/>
        <v/>
      </c>
      <c r="P112">
        <f t="shared" si="19"/>
        <v>0.6</v>
      </c>
    </row>
    <row r="113" spans="1:16" x14ac:dyDescent="0.25">
      <c r="A113" t="s">
        <v>7</v>
      </c>
      <c r="B113" s="15">
        <f t="shared" si="20"/>
        <v>0.1</v>
      </c>
      <c r="C113" s="6">
        <f>IF(M113&lt;&gt;"",B113*O113+C112,C112)</f>
        <v>0.82000000000000006</v>
      </c>
      <c r="D113" s="2">
        <f t="shared" si="15"/>
        <v>13400</v>
      </c>
      <c r="E113" s="2">
        <f t="shared" si="16"/>
        <v>3400</v>
      </c>
      <c r="F113" s="4">
        <f>IF(M113&lt;&gt;"",F112+(C113-C112)*D113/G113,F112)</f>
        <v>1080.5714285714287</v>
      </c>
      <c r="G113">
        <f t="shared" si="17"/>
        <v>7</v>
      </c>
      <c r="H113" s="4">
        <f t="shared" si="14"/>
        <v>10988</v>
      </c>
      <c r="I113" s="4">
        <f t="shared" si="23"/>
        <v>9224.3902439024387</v>
      </c>
      <c r="J113" s="4">
        <f t="shared" si="21"/>
        <v>489.14285714285722</v>
      </c>
      <c r="K113" s="20">
        <f t="shared" si="22"/>
        <v>0.45267054468535173</v>
      </c>
      <c r="L113" s="5" t="str">
        <f>IFERROR(HLOOKUP(M113,$3:$4,2,0),"")</f>
        <v/>
      </c>
      <c r="M113" s="5" t="str">
        <f>IFERROR(HLOOKUP(D113,$8:$9,2,0),"")</f>
        <v/>
      </c>
      <c r="N113" t="str">
        <f>IFERROR(HLOOKUP(M113,$9:$11,3,0),"")</f>
        <v/>
      </c>
      <c r="O113" s="1" t="str">
        <f t="shared" si="18"/>
        <v/>
      </c>
      <c r="P113">
        <f t="shared" si="19"/>
        <v>0.6</v>
      </c>
    </row>
    <row r="114" spans="1:16" x14ac:dyDescent="0.25">
      <c r="A114" t="s">
        <v>7</v>
      </c>
      <c r="B114" s="15">
        <f t="shared" si="20"/>
        <v>0.1</v>
      </c>
      <c r="C114" s="6">
        <f>IF(M114&lt;&gt;"",B114*O114+C113,C113)</f>
        <v>0.82000000000000006</v>
      </c>
      <c r="D114" s="2">
        <f t="shared" si="15"/>
        <v>13500</v>
      </c>
      <c r="E114" s="2">
        <f t="shared" si="16"/>
        <v>3500</v>
      </c>
      <c r="F114" s="4">
        <f>IF(M114&lt;&gt;"",F113+(C114-C113)*D114/G114,F113)</f>
        <v>1080.5714285714287</v>
      </c>
      <c r="G114">
        <f t="shared" si="17"/>
        <v>7</v>
      </c>
      <c r="H114" s="4">
        <f t="shared" si="14"/>
        <v>11070</v>
      </c>
      <c r="I114" s="4">
        <f t="shared" si="23"/>
        <v>9224.3902439024387</v>
      </c>
      <c r="J114" s="4">
        <f t="shared" si="21"/>
        <v>500.85714285714295</v>
      </c>
      <c r="K114" s="20">
        <f t="shared" si="22"/>
        <v>0.46351136964569017</v>
      </c>
      <c r="L114" s="5" t="str">
        <f>IFERROR(HLOOKUP(M114,$3:$4,2,0),"")</f>
        <v/>
      </c>
      <c r="M114" s="5" t="str">
        <f>IFERROR(HLOOKUP(D114,$8:$9,2,0),"")</f>
        <v/>
      </c>
      <c r="N114" t="str">
        <f>IFERROR(HLOOKUP(M114,$9:$11,3,0),"")</f>
        <v/>
      </c>
      <c r="O114" s="1" t="str">
        <f t="shared" si="18"/>
        <v/>
      </c>
      <c r="P114">
        <f t="shared" si="19"/>
        <v>0.6</v>
      </c>
    </row>
    <row r="115" spans="1:16" x14ac:dyDescent="0.25">
      <c r="A115" t="s">
        <v>7</v>
      </c>
      <c r="B115" s="15">
        <f t="shared" si="20"/>
        <v>0.1</v>
      </c>
      <c r="C115" s="6">
        <f>IF(M115&lt;&gt;"",B115*O115+C114,C114)</f>
        <v>0.82000000000000006</v>
      </c>
      <c r="D115" s="2">
        <f t="shared" si="15"/>
        <v>13600</v>
      </c>
      <c r="E115" s="2">
        <f t="shared" si="16"/>
        <v>3600</v>
      </c>
      <c r="F115" s="4">
        <f>IF(M115&lt;&gt;"",F114+(C115-C114)*D115/G115,F114)</f>
        <v>1080.5714285714287</v>
      </c>
      <c r="G115">
        <f t="shared" si="17"/>
        <v>7</v>
      </c>
      <c r="H115" s="4">
        <f t="shared" si="14"/>
        <v>11152</v>
      </c>
      <c r="I115" s="4">
        <f t="shared" si="23"/>
        <v>9224.3902439024387</v>
      </c>
      <c r="J115" s="4">
        <f t="shared" si="21"/>
        <v>512.57142857142867</v>
      </c>
      <c r="K115" s="20">
        <f t="shared" si="22"/>
        <v>0.47435219460602862</v>
      </c>
      <c r="L115" s="5" t="str">
        <f>IFERROR(HLOOKUP(M115,$3:$4,2,0),"")</f>
        <v/>
      </c>
      <c r="M115" s="5" t="str">
        <f>IFERROR(HLOOKUP(D115,$8:$9,2,0),"")</f>
        <v/>
      </c>
      <c r="N115" t="str">
        <f>IFERROR(HLOOKUP(M115,$9:$11,3,0),"")</f>
        <v/>
      </c>
      <c r="O115" s="1" t="str">
        <f t="shared" si="18"/>
        <v/>
      </c>
      <c r="P115">
        <f t="shared" si="19"/>
        <v>0.6</v>
      </c>
    </row>
    <row r="116" spans="1:16" x14ac:dyDescent="0.25">
      <c r="A116" t="s">
        <v>7</v>
      </c>
      <c r="B116" s="15">
        <f t="shared" si="20"/>
        <v>0.1</v>
      </c>
      <c r="C116" s="6">
        <f>IF(M116&lt;&gt;"",B116*O116+C115,C115)</f>
        <v>0.82000000000000006</v>
      </c>
      <c r="D116" s="2">
        <f t="shared" si="15"/>
        <v>13700</v>
      </c>
      <c r="E116" s="2">
        <f t="shared" si="16"/>
        <v>3700</v>
      </c>
      <c r="F116" s="4">
        <f>IF(M116&lt;&gt;"",F115+(C116-C115)*D116/G116,F115)</f>
        <v>1080.5714285714287</v>
      </c>
      <c r="G116">
        <f t="shared" si="17"/>
        <v>7</v>
      </c>
      <c r="H116" s="4">
        <f t="shared" si="14"/>
        <v>11234</v>
      </c>
      <c r="I116" s="4">
        <f t="shared" si="23"/>
        <v>9224.3902439024387</v>
      </c>
      <c r="J116" s="4">
        <f t="shared" si="21"/>
        <v>524.28571428571433</v>
      </c>
      <c r="K116" s="20">
        <f t="shared" si="22"/>
        <v>0.48519301956636701</v>
      </c>
      <c r="L116" s="5" t="str">
        <f>IFERROR(HLOOKUP(M116,$3:$4,2,0),"")</f>
        <v/>
      </c>
      <c r="M116" s="5" t="str">
        <f>IFERROR(HLOOKUP(D116,$8:$9,2,0),"")</f>
        <v/>
      </c>
      <c r="N116" t="str">
        <f>IFERROR(HLOOKUP(M116,$9:$11,3,0),"")</f>
        <v/>
      </c>
      <c r="O116" s="1" t="str">
        <f t="shared" si="18"/>
        <v/>
      </c>
      <c r="P116">
        <f t="shared" si="19"/>
        <v>0.6</v>
      </c>
    </row>
    <row r="117" spans="1:16" x14ac:dyDescent="0.25">
      <c r="A117" t="s">
        <v>7</v>
      </c>
      <c r="B117" s="15">
        <f t="shared" si="20"/>
        <v>0.1</v>
      </c>
      <c r="C117" s="6">
        <f>IF(M117&lt;&gt;"",B117*O117+C116,C116)</f>
        <v>0.82000000000000006</v>
      </c>
      <c r="D117" s="2">
        <f t="shared" si="15"/>
        <v>13800</v>
      </c>
      <c r="E117" s="2">
        <f t="shared" si="16"/>
        <v>3800</v>
      </c>
      <c r="F117" s="4">
        <f>IF(M117&lt;&gt;"",F116+(C117-C116)*D117/G117,F116)</f>
        <v>1080.5714285714287</v>
      </c>
      <c r="G117">
        <f t="shared" si="17"/>
        <v>7</v>
      </c>
      <c r="H117" s="4">
        <f t="shared" si="14"/>
        <v>11316</v>
      </c>
      <c r="I117" s="4">
        <f t="shared" si="23"/>
        <v>9224.3902439024387</v>
      </c>
      <c r="J117" s="4">
        <f t="shared" si="21"/>
        <v>536.00000000000011</v>
      </c>
      <c r="K117" s="20">
        <f t="shared" si="22"/>
        <v>0.49603384452670551</v>
      </c>
      <c r="L117" s="5" t="str">
        <f>IFERROR(HLOOKUP(M117,$3:$4,2,0),"")</f>
        <v/>
      </c>
      <c r="M117" s="5" t="str">
        <f>IFERROR(HLOOKUP(D117,$8:$9,2,0),"")</f>
        <v/>
      </c>
      <c r="N117" t="str">
        <f>IFERROR(HLOOKUP(M117,$9:$11,3,0),"")</f>
        <v/>
      </c>
      <c r="O117" s="1" t="str">
        <f t="shared" si="18"/>
        <v/>
      </c>
      <c r="P117">
        <f t="shared" si="19"/>
        <v>0.6</v>
      </c>
    </row>
    <row r="118" spans="1:16" x14ac:dyDescent="0.25">
      <c r="A118" t="s">
        <v>7</v>
      </c>
      <c r="B118" s="15">
        <f t="shared" si="20"/>
        <v>0.1</v>
      </c>
      <c r="C118" s="6">
        <f>IF(M118&lt;&gt;"",B118*O118+C117,C117)</f>
        <v>0.82000000000000006</v>
      </c>
      <c r="D118" s="2">
        <f t="shared" si="15"/>
        <v>13900</v>
      </c>
      <c r="E118" s="2">
        <f t="shared" si="16"/>
        <v>3900</v>
      </c>
      <c r="F118" s="4">
        <f>IF(M118&lt;&gt;"",F117+(C118-C117)*D118/G118,F117)</f>
        <v>1080.5714285714287</v>
      </c>
      <c r="G118">
        <f t="shared" si="17"/>
        <v>7</v>
      </c>
      <c r="H118" s="4">
        <f t="shared" si="14"/>
        <v>11398</v>
      </c>
      <c r="I118" s="4">
        <f t="shared" si="23"/>
        <v>9224.3902439024387</v>
      </c>
      <c r="J118" s="4">
        <f t="shared" si="21"/>
        <v>547.71428571428578</v>
      </c>
      <c r="K118" s="20">
        <f t="shared" si="22"/>
        <v>0.50687466948704396</v>
      </c>
      <c r="L118" s="5" t="str">
        <f>IFERROR(HLOOKUP(M118,$3:$4,2,0),"")</f>
        <v/>
      </c>
      <c r="M118" s="5" t="str">
        <f>IFERROR(HLOOKUP(D118,$8:$9,2,0),"")</f>
        <v/>
      </c>
      <c r="N118" t="str">
        <f>IFERROR(HLOOKUP(M118,$9:$11,3,0),"")</f>
        <v/>
      </c>
      <c r="O118" s="1" t="str">
        <f t="shared" si="18"/>
        <v/>
      </c>
      <c r="P118">
        <f t="shared" si="19"/>
        <v>0.6</v>
      </c>
    </row>
    <row r="119" spans="1:16" x14ac:dyDescent="0.25">
      <c r="A119" t="s">
        <v>7</v>
      </c>
      <c r="B119" s="15">
        <f t="shared" si="20"/>
        <v>0.1</v>
      </c>
      <c r="C119" s="6">
        <f>IF(M119&lt;&gt;"",B119*O119+C118,C118)</f>
        <v>0.82000000000000006</v>
      </c>
      <c r="D119" s="2">
        <f t="shared" si="15"/>
        <v>14000</v>
      </c>
      <c r="E119" s="2">
        <f t="shared" si="16"/>
        <v>4000</v>
      </c>
      <c r="F119" s="4">
        <f>IF(M119&lt;&gt;"",F118+(C119-C118)*D119/G119,F118)</f>
        <v>1080.5714285714287</v>
      </c>
      <c r="G119">
        <f t="shared" si="17"/>
        <v>7</v>
      </c>
      <c r="H119" s="4">
        <f t="shared" si="14"/>
        <v>11480</v>
      </c>
      <c r="I119" s="4">
        <f t="shared" si="23"/>
        <v>9224.3902439024387</v>
      </c>
      <c r="J119" s="4">
        <f t="shared" si="21"/>
        <v>559.42857142857144</v>
      </c>
      <c r="K119" s="20">
        <f t="shared" si="22"/>
        <v>0.5177154944473823</v>
      </c>
      <c r="L119" s="5" t="str">
        <f>IFERROR(HLOOKUP(M119,$3:$4,2,0),"")</f>
        <v/>
      </c>
      <c r="M119" s="5" t="str">
        <f>IFERROR(HLOOKUP(D119,$8:$9,2,0),"")</f>
        <v/>
      </c>
      <c r="N119" t="str">
        <f>IFERROR(HLOOKUP(M119,$9:$11,3,0),"")</f>
        <v/>
      </c>
      <c r="O119" s="1" t="str">
        <f t="shared" si="18"/>
        <v/>
      </c>
      <c r="P119">
        <f t="shared" si="19"/>
        <v>0.6</v>
      </c>
    </row>
    <row r="120" spans="1:16" x14ac:dyDescent="0.25">
      <c r="A120" t="s">
        <v>7</v>
      </c>
      <c r="B120" s="15">
        <f t="shared" si="20"/>
        <v>0.1</v>
      </c>
      <c r="C120" s="6">
        <f>IF(M120&lt;&gt;"",B120*O120+C119,C119)</f>
        <v>0.82000000000000006</v>
      </c>
      <c r="D120" s="2">
        <f t="shared" si="15"/>
        <v>14100</v>
      </c>
      <c r="E120" s="2">
        <f t="shared" si="16"/>
        <v>4100</v>
      </c>
      <c r="F120" s="4">
        <f>IF(M120&lt;&gt;"",F119+(C120-C119)*D120/G120,F119)</f>
        <v>1080.5714285714287</v>
      </c>
      <c r="G120">
        <f t="shared" si="17"/>
        <v>7</v>
      </c>
      <c r="H120" s="4">
        <f t="shared" si="14"/>
        <v>11562</v>
      </c>
      <c r="I120" s="4">
        <f t="shared" si="23"/>
        <v>9224.3902439024387</v>
      </c>
      <c r="J120" s="4">
        <f t="shared" si="21"/>
        <v>571.14285714285722</v>
      </c>
      <c r="K120" s="20">
        <f t="shared" si="22"/>
        <v>0.52855631940772085</v>
      </c>
      <c r="L120" s="5" t="str">
        <f>IFERROR(HLOOKUP(M120,$3:$4,2,0),"")</f>
        <v/>
      </c>
      <c r="M120" s="5" t="str">
        <f>IFERROR(HLOOKUP(D120,$8:$9,2,0),"")</f>
        <v/>
      </c>
      <c r="N120" t="str">
        <f>IFERROR(HLOOKUP(M120,$9:$11,3,0),"")</f>
        <v/>
      </c>
      <c r="O120" s="1" t="str">
        <f t="shared" si="18"/>
        <v/>
      </c>
      <c r="P120">
        <f t="shared" si="19"/>
        <v>0.6</v>
      </c>
    </row>
    <row r="121" spans="1:16" x14ac:dyDescent="0.25">
      <c r="A121" t="s">
        <v>7</v>
      </c>
      <c r="B121" s="15">
        <f t="shared" si="20"/>
        <v>0.1</v>
      </c>
      <c r="C121" s="6">
        <f>IF(M121&lt;&gt;"",B121*O121+C120,C120)</f>
        <v>0.82000000000000006</v>
      </c>
      <c r="D121" s="2">
        <f t="shared" si="15"/>
        <v>14200</v>
      </c>
      <c r="E121" s="2">
        <f t="shared" si="16"/>
        <v>4200</v>
      </c>
      <c r="F121" s="4">
        <f>IF(M121&lt;&gt;"",F120+(C121-C120)*D121/G121,F120)</f>
        <v>1080.5714285714287</v>
      </c>
      <c r="G121">
        <f t="shared" si="17"/>
        <v>7</v>
      </c>
      <c r="H121" s="4">
        <f t="shared" si="14"/>
        <v>11644</v>
      </c>
      <c r="I121" s="4">
        <f t="shared" si="23"/>
        <v>9224.3902439024387</v>
      </c>
      <c r="J121" s="4">
        <f t="shared" si="21"/>
        <v>582.85714285714289</v>
      </c>
      <c r="K121" s="20">
        <f t="shared" si="22"/>
        <v>0.53939714436805919</v>
      </c>
      <c r="L121" s="5" t="str">
        <f>IFERROR(HLOOKUP(M121,$3:$4,2,0),"")</f>
        <v/>
      </c>
      <c r="M121" s="5" t="str">
        <f>IFERROR(HLOOKUP(D121,$8:$9,2,0),"")</f>
        <v/>
      </c>
      <c r="N121" t="str">
        <f>IFERROR(HLOOKUP(M121,$9:$11,3,0),"")</f>
        <v/>
      </c>
      <c r="O121" s="1" t="str">
        <f t="shared" si="18"/>
        <v/>
      </c>
      <c r="P121">
        <f t="shared" si="19"/>
        <v>0.6</v>
      </c>
    </row>
    <row r="122" spans="1:16" x14ac:dyDescent="0.25">
      <c r="A122" t="s">
        <v>7</v>
      </c>
      <c r="B122" s="15">
        <f t="shared" si="20"/>
        <v>0.1</v>
      </c>
      <c r="C122" s="6">
        <f>IF(M122&lt;&gt;"",B122*O122+C121,C121)</f>
        <v>0.82000000000000006</v>
      </c>
      <c r="D122" s="2">
        <f t="shared" si="15"/>
        <v>14300</v>
      </c>
      <c r="E122" s="2">
        <f t="shared" si="16"/>
        <v>4300</v>
      </c>
      <c r="F122" s="4">
        <f>IF(M122&lt;&gt;"",F121+(C122-C121)*D122/G122,F121)</f>
        <v>1080.5714285714287</v>
      </c>
      <c r="G122">
        <f t="shared" si="17"/>
        <v>7</v>
      </c>
      <c r="H122" s="4">
        <f t="shared" si="14"/>
        <v>11726</v>
      </c>
      <c r="I122" s="4">
        <f t="shared" si="23"/>
        <v>9224.3902439024387</v>
      </c>
      <c r="J122" s="4">
        <f t="shared" si="21"/>
        <v>594.57142857142867</v>
      </c>
      <c r="K122" s="20">
        <f t="shared" si="22"/>
        <v>0.55023796932839775</v>
      </c>
      <c r="L122" s="5" t="str">
        <f>IFERROR(HLOOKUP(M122,$3:$4,2,0),"")</f>
        <v/>
      </c>
      <c r="M122" s="5" t="str">
        <f>IFERROR(HLOOKUP(D122,$8:$9,2,0),"")</f>
        <v/>
      </c>
      <c r="N122" t="str">
        <f>IFERROR(HLOOKUP(M122,$9:$11,3,0),"")</f>
        <v/>
      </c>
      <c r="O122" s="1" t="str">
        <f t="shared" si="18"/>
        <v/>
      </c>
      <c r="P122">
        <f t="shared" si="19"/>
        <v>0.6</v>
      </c>
    </row>
    <row r="123" spans="1:16" x14ac:dyDescent="0.25">
      <c r="A123" t="s">
        <v>7</v>
      </c>
      <c r="B123" s="15">
        <f t="shared" si="20"/>
        <v>0.1</v>
      </c>
      <c r="C123" s="6">
        <f>IF(M123&lt;&gt;"",B123*O123+C122,C122)</f>
        <v>0.82000000000000006</v>
      </c>
      <c r="D123" s="2">
        <f t="shared" si="15"/>
        <v>14400</v>
      </c>
      <c r="E123" s="2">
        <f t="shared" si="16"/>
        <v>4400</v>
      </c>
      <c r="F123" s="4">
        <f>IF(M123&lt;&gt;"",F122+(C123-C122)*D123/G123,F122)</f>
        <v>1080.5714285714287</v>
      </c>
      <c r="G123">
        <f t="shared" si="17"/>
        <v>7</v>
      </c>
      <c r="H123" s="4">
        <f t="shared" si="14"/>
        <v>11808</v>
      </c>
      <c r="I123" s="4">
        <f t="shared" si="23"/>
        <v>9224.3902439024387</v>
      </c>
      <c r="J123" s="4">
        <f t="shared" si="21"/>
        <v>606.28571428571445</v>
      </c>
      <c r="K123" s="20">
        <f t="shared" si="22"/>
        <v>0.56107879428873619</v>
      </c>
      <c r="L123" s="5" t="str">
        <f>IFERROR(HLOOKUP(M123,$3:$4,2,0),"")</f>
        <v/>
      </c>
      <c r="M123" s="5" t="str">
        <f>IFERROR(HLOOKUP(D123,$8:$9,2,0),"")</f>
        <v/>
      </c>
      <c r="N123" t="str">
        <f>IFERROR(HLOOKUP(M123,$9:$11,3,0),"")</f>
        <v/>
      </c>
      <c r="O123" s="1" t="str">
        <f t="shared" si="18"/>
        <v/>
      </c>
      <c r="P123">
        <f t="shared" si="19"/>
        <v>0.6</v>
      </c>
    </row>
    <row r="124" spans="1:16" x14ac:dyDescent="0.25">
      <c r="A124" t="s">
        <v>7</v>
      </c>
      <c r="B124" s="15">
        <f t="shared" si="20"/>
        <v>0.1</v>
      </c>
      <c r="C124" s="6">
        <f>IF(M124&lt;&gt;"",B124*O124+C123,C123)</f>
        <v>0.82000000000000006</v>
      </c>
      <c r="D124" s="2">
        <f t="shared" si="15"/>
        <v>14500</v>
      </c>
      <c r="E124" s="2">
        <f t="shared" si="16"/>
        <v>4500</v>
      </c>
      <c r="F124" s="4">
        <f>IF(M124&lt;&gt;"",F123+(C124-C123)*D124/G124,F123)</f>
        <v>1080.5714285714287</v>
      </c>
      <c r="G124">
        <f t="shared" si="17"/>
        <v>7</v>
      </c>
      <c r="H124" s="4">
        <f t="shared" si="14"/>
        <v>11890</v>
      </c>
      <c r="I124" s="4">
        <f t="shared" si="23"/>
        <v>9224.3902439024387</v>
      </c>
      <c r="J124" s="4">
        <f t="shared" si="21"/>
        <v>618.00000000000011</v>
      </c>
      <c r="K124" s="20">
        <f t="shared" si="22"/>
        <v>0.57191961924907464</v>
      </c>
      <c r="L124" s="5" t="str">
        <f>IFERROR(HLOOKUP(M124,$3:$4,2,0),"")</f>
        <v/>
      </c>
      <c r="M124" s="5" t="str">
        <f>IFERROR(HLOOKUP(D124,$8:$9,2,0),"")</f>
        <v/>
      </c>
      <c r="N124" t="str">
        <f>IFERROR(HLOOKUP(M124,$9:$11,3,0),"")</f>
        <v/>
      </c>
      <c r="O124" s="1" t="str">
        <f t="shared" si="18"/>
        <v/>
      </c>
      <c r="P124">
        <f t="shared" si="19"/>
        <v>0.6</v>
      </c>
    </row>
    <row r="125" spans="1:16" x14ac:dyDescent="0.25">
      <c r="A125" t="s">
        <v>7</v>
      </c>
      <c r="B125" s="15">
        <f t="shared" si="20"/>
        <v>0.1</v>
      </c>
      <c r="C125" s="6">
        <f>IF(M125&lt;&gt;"",B125*O125+C124,C124)</f>
        <v>0.82000000000000006</v>
      </c>
      <c r="D125" s="2">
        <f t="shared" si="15"/>
        <v>14600</v>
      </c>
      <c r="E125" s="2">
        <f t="shared" si="16"/>
        <v>4600</v>
      </c>
      <c r="F125" s="4">
        <f>IF(M125&lt;&gt;"",F124+(C125-C124)*D125/G125,F124)</f>
        <v>1080.5714285714287</v>
      </c>
      <c r="G125">
        <f t="shared" si="17"/>
        <v>7</v>
      </c>
      <c r="H125" s="4">
        <f t="shared" si="14"/>
        <v>11972</v>
      </c>
      <c r="I125" s="4">
        <f t="shared" si="23"/>
        <v>9224.3902439024387</v>
      </c>
      <c r="J125" s="4">
        <f t="shared" si="21"/>
        <v>629.71428571428589</v>
      </c>
      <c r="K125" s="20">
        <f t="shared" si="22"/>
        <v>0.58276044420941309</v>
      </c>
      <c r="L125" s="5" t="str">
        <f>IFERROR(HLOOKUP(M125,$3:$4,2,0),"")</f>
        <v/>
      </c>
      <c r="M125" s="5" t="str">
        <f>IFERROR(HLOOKUP(D125,$8:$9,2,0),"")</f>
        <v/>
      </c>
      <c r="N125" t="str">
        <f>IFERROR(HLOOKUP(M125,$9:$11,3,0),"")</f>
        <v/>
      </c>
      <c r="O125" s="1" t="str">
        <f t="shared" si="18"/>
        <v/>
      </c>
      <c r="P125">
        <f t="shared" si="19"/>
        <v>0.6</v>
      </c>
    </row>
    <row r="126" spans="1:16" x14ac:dyDescent="0.25">
      <c r="A126" t="s">
        <v>7</v>
      </c>
      <c r="B126" s="15">
        <f t="shared" si="20"/>
        <v>0.1</v>
      </c>
      <c r="C126" s="6">
        <f>IF(M126&lt;&gt;"",B126*O126+C125,C125)</f>
        <v>0.82000000000000006</v>
      </c>
      <c r="D126" s="2">
        <f t="shared" si="15"/>
        <v>14700</v>
      </c>
      <c r="E126" s="2">
        <f t="shared" si="16"/>
        <v>4700</v>
      </c>
      <c r="F126" s="4">
        <f>IF(M126&lt;&gt;"",F125+(C126-C125)*D126/G126,F125)</f>
        <v>1080.5714285714287</v>
      </c>
      <c r="G126">
        <f t="shared" si="17"/>
        <v>7</v>
      </c>
      <c r="H126" s="4">
        <f t="shared" si="14"/>
        <v>12054.000000000002</v>
      </c>
      <c r="I126" s="4">
        <f t="shared" si="23"/>
        <v>9224.3902439024387</v>
      </c>
      <c r="J126" s="4">
        <f t="shared" si="21"/>
        <v>641.42857142857156</v>
      </c>
      <c r="K126" s="20">
        <f t="shared" si="22"/>
        <v>0.59360126916975153</v>
      </c>
      <c r="L126" s="5" t="str">
        <f>IFERROR(HLOOKUP(M126,$3:$4,2,0),"")</f>
        <v/>
      </c>
      <c r="M126" s="5" t="str">
        <f>IFERROR(HLOOKUP(D126,$8:$9,2,0),"")</f>
        <v/>
      </c>
      <c r="N126" t="str">
        <f>IFERROR(HLOOKUP(M126,$9:$11,3,0),"")</f>
        <v/>
      </c>
      <c r="O126" s="1" t="str">
        <f t="shared" si="18"/>
        <v/>
      </c>
      <c r="P126">
        <f t="shared" si="19"/>
        <v>0.6</v>
      </c>
    </row>
    <row r="127" spans="1:16" x14ac:dyDescent="0.25">
      <c r="A127" t="s">
        <v>7</v>
      </c>
      <c r="B127" s="15">
        <f t="shared" si="20"/>
        <v>0.1</v>
      </c>
      <c r="C127" s="6">
        <f>IF(M127&lt;&gt;"",B127*O127+C126,C126)</f>
        <v>0.82000000000000006</v>
      </c>
      <c r="D127" s="2">
        <f t="shared" si="15"/>
        <v>14800</v>
      </c>
      <c r="E127" s="2">
        <f t="shared" si="16"/>
        <v>4800</v>
      </c>
      <c r="F127" s="4">
        <f>IF(M127&lt;&gt;"",F126+(C127-C126)*D127/G127,F126)</f>
        <v>1080.5714285714287</v>
      </c>
      <c r="G127">
        <f t="shared" si="17"/>
        <v>7</v>
      </c>
      <c r="H127" s="4">
        <f t="shared" si="14"/>
        <v>12136.000000000002</v>
      </c>
      <c r="I127" s="4">
        <f t="shared" si="23"/>
        <v>9224.3902439024387</v>
      </c>
      <c r="J127" s="4">
        <f t="shared" si="21"/>
        <v>653.14285714285722</v>
      </c>
      <c r="K127" s="20">
        <f t="shared" si="22"/>
        <v>0.60444209413008987</v>
      </c>
      <c r="L127" s="5" t="str">
        <f>IFERROR(HLOOKUP(M127,$3:$4,2,0),"")</f>
        <v/>
      </c>
      <c r="M127" s="5" t="str">
        <f>IFERROR(HLOOKUP(D127,$8:$9,2,0),"")</f>
        <v/>
      </c>
      <c r="N127" t="str">
        <f>IFERROR(HLOOKUP(M127,$9:$11,3,0),"")</f>
        <v/>
      </c>
      <c r="O127" s="1" t="str">
        <f t="shared" si="18"/>
        <v/>
      </c>
      <c r="P127">
        <f t="shared" si="19"/>
        <v>0.6</v>
      </c>
    </row>
    <row r="128" spans="1:16" x14ac:dyDescent="0.25">
      <c r="A128" t="s">
        <v>7</v>
      </c>
      <c r="B128" s="15">
        <f t="shared" si="20"/>
        <v>0.1</v>
      </c>
      <c r="C128" s="6">
        <f>IF(M128&lt;&gt;"",B128*O128+C127,C127)</f>
        <v>0.82000000000000006</v>
      </c>
      <c r="D128" s="2">
        <f t="shared" si="15"/>
        <v>14900</v>
      </c>
      <c r="E128" s="2">
        <f t="shared" si="16"/>
        <v>4900</v>
      </c>
      <c r="F128" s="4">
        <f>IF(M128&lt;&gt;"",F127+(C128-C127)*D128/G128,F127)</f>
        <v>1080.5714285714287</v>
      </c>
      <c r="G128">
        <f t="shared" si="17"/>
        <v>7</v>
      </c>
      <c r="H128" s="4">
        <f t="shared" si="14"/>
        <v>12218.000000000002</v>
      </c>
      <c r="I128" s="4">
        <f t="shared" si="23"/>
        <v>9224.3902439024387</v>
      </c>
      <c r="J128" s="4">
        <f t="shared" si="21"/>
        <v>664.857142857143</v>
      </c>
      <c r="K128" s="20">
        <f t="shared" si="22"/>
        <v>0.61528291909042843</v>
      </c>
      <c r="L128" s="5" t="str">
        <f>IFERROR(HLOOKUP(M128,$3:$4,2,0),"")</f>
        <v/>
      </c>
      <c r="M128" s="5" t="str">
        <f>IFERROR(HLOOKUP(D128,$8:$9,2,0),"")</f>
        <v/>
      </c>
      <c r="N128" t="str">
        <f>IFERROR(HLOOKUP(M128,$9:$11,3,0),"")</f>
        <v/>
      </c>
      <c r="O128" s="1" t="str">
        <f t="shared" si="18"/>
        <v/>
      </c>
      <c r="P128">
        <f t="shared" si="19"/>
        <v>0.6</v>
      </c>
    </row>
    <row r="129" spans="1:16" x14ac:dyDescent="0.25">
      <c r="A129" t="s">
        <v>7</v>
      </c>
      <c r="B129" s="15">
        <f t="shared" si="20"/>
        <v>0.1</v>
      </c>
      <c r="C129" s="6">
        <f>IF(M129&lt;&gt;"",B129*O129+C128,C128)</f>
        <v>0.82000000000000006</v>
      </c>
      <c r="D129" s="2">
        <f t="shared" si="15"/>
        <v>15000</v>
      </c>
      <c r="E129" s="2">
        <f t="shared" si="16"/>
        <v>5000</v>
      </c>
      <c r="F129" s="4">
        <f>IF(M129&lt;&gt;"",F128+(C129-C128)*D129/G129,F128)</f>
        <v>1080.5714285714287</v>
      </c>
      <c r="G129">
        <f t="shared" si="17"/>
        <v>7</v>
      </c>
      <c r="H129" s="4">
        <f t="shared" si="14"/>
        <v>12300.000000000002</v>
      </c>
      <c r="I129" s="4">
        <f t="shared" si="23"/>
        <v>9224.3902439024387</v>
      </c>
      <c r="J129" s="4">
        <f t="shared" si="21"/>
        <v>676.57142857142867</v>
      </c>
      <c r="K129" s="20">
        <f t="shared" si="22"/>
        <v>0.62612374405076687</v>
      </c>
      <c r="L129" s="5" t="str">
        <f>IFERROR(HLOOKUP(M129,$3:$4,2,0),"")</f>
        <v/>
      </c>
      <c r="M129" s="5" t="str">
        <f>IFERROR(HLOOKUP(D129,$8:$9,2,0),"")</f>
        <v/>
      </c>
      <c r="N129" t="str">
        <f>IFERROR(HLOOKUP(M129,$9:$11,3,0),"")</f>
        <v/>
      </c>
      <c r="O129" s="1" t="str">
        <f t="shared" si="18"/>
        <v/>
      </c>
      <c r="P129">
        <f t="shared" si="19"/>
        <v>0.6</v>
      </c>
    </row>
    <row r="130" spans="1:16" x14ac:dyDescent="0.25">
      <c r="A130" t="s">
        <v>7</v>
      </c>
      <c r="B130" s="15">
        <f t="shared" si="20"/>
        <v>0.1</v>
      </c>
      <c r="C130" s="6">
        <f>IF(M130&lt;&gt;"",B130*O130+C129,C129)</f>
        <v>0.82000000000000006</v>
      </c>
      <c r="D130" s="2">
        <f t="shared" si="15"/>
        <v>15100</v>
      </c>
      <c r="E130" s="2">
        <f t="shared" si="16"/>
        <v>5100</v>
      </c>
      <c r="F130" s="4">
        <f>IF(M130&lt;&gt;"",F129+(C130-C129)*D130/G130,F129)</f>
        <v>1080.5714285714287</v>
      </c>
      <c r="G130">
        <f t="shared" si="17"/>
        <v>7</v>
      </c>
      <c r="H130" s="4">
        <f t="shared" si="14"/>
        <v>12382.000000000002</v>
      </c>
      <c r="I130" s="4">
        <f t="shared" si="23"/>
        <v>9224.3902439024387</v>
      </c>
      <c r="J130" s="4">
        <f t="shared" si="21"/>
        <v>688.28571428571445</v>
      </c>
      <c r="K130" s="20">
        <f t="shared" si="22"/>
        <v>0.63696456901110532</v>
      </c>
      <c r="L130" s="5" t="str">
        <f>IFERROR(HLOOKUP(M130,$3:$4,2,0),"")</f>
        <v/>
      </c>
      <c r="M130" s="5" t="str">
        <f>IFERROR(HLOOKUP(D130,$8:$9,2,0),"")</f>
        <v/>
      </c>
      <c r="N130" t="str">
        <f>IFERROR(HLOOKUP(M130,$9:$11,3,0),"")</f>
        <v/>
      </c>
      <c r="O130" s="1" t="str">
        <f t="shared" si="18"/>
        <v/>
      </c>
      <c r="P130">
        <f t="shared" si="19"/>
        <v>0.6</v>
      </c>
    </row>
    <row r="131" spans="1:16" x14ac:dyDescent="0.25">
      <c r="A131" t="s">
        <v>7</v>
      </c>
      <c r="B131" s="15">
        <f t="shared" si="20"/>
        <v>0.1</v>
      </c>
      <c r="C131" s="6">
        <f>IF(M131&lt;&gt;"",B131*O131+C130,C130)</f>
        <v>0.82000000000000006</v>
      </c>
      <c r="D131" s="2">
        <f t="shared" si="15"/>
        <v>15200</v>
      </c>
      <c r="E131" s="2">
        <f t="shared" si="16"/>
        <v>5200</v>
      </c>
      <c r="F131" s="4">
        <f>IF(M131&lt;&gt;"",F130+(C131-C130)*D131/G131,F130)</f>
        <v>1080.5714285714287</v>
      </c>
      <c r="G131">
        <f t="shared" si="17"/>
        <v>7</v>
      </c>
      <c r="H131" s="4">
        <f t="shared" si="14"/>
        <v>12464.000000000002</v>
      </c>
      <c r="I131" s="4">
        <f t="shared" si="23"/>
        <v>9224.3902439024387</v>
      </c>
      <c r="J131" s="4">
        <f t="shared" si="21"/>
        <v>700.00000000000011</v>
      </c>
      <c r="K131" s="20">
        <f t="shared" si="22"/>
        <v>0.64780539397144377</v>
      </c>
      <c r="L131" s="5" t="str">
        <f>IFERROR(HLOOKUP(M131,$3:$4,2,0),"")</f>
        <v/>
      </c>
      <c r="M131" s="5" t="str">
        <f>IFERROR(HLOOKUP(D131,$8:$9,2,0),"")</f>
        <v/>
      </c>
      <c r="N131" t="str">
        <f>IFERROR(HLOOKUP(M131,$9:$11,3,0),"")</f>
        <v/>
      </c>
      <c r="O131" s="1" t="str">
        <f t="shared" si="18"/>
        <v/>
      </c>
      <c r="P131">
        <f t="shared" si="19"/>
        <v>0.6</v>
      </c>
    </row>
    <row r="132" spans="1:16" x14ac:dyDescent="0.25">
      <c r="A132" t="s">
        <v>7</v>
      </c>
      <c r="B132" s="15">
        <f t="shared" si="20"/>
        <v>0.1</v>
      </c>
      <c r="C132" s="6">
        <f>IF(M132&lt;&gt;"",B132*O132+C131,C131)</f>
        <v>0.82000000000000006</v>
      </c>
      <c r="D132" s="2">
        <f t="shared" si="15"/>
        <v>15300</v>
      </c>
      <c r="E132" s="2">
        <f t="shared" si="16"/>
        <v>5300</v>
      </c>
      <c r="F132" s="4">
        <f>IF(M132&lt;&gt;"",F131+(C132-C131)*D132/G132,F131)</f>
        <v>1080.5714285714287</v>
      </c>
      <c r="G132">
        <f t="shared" si="17"/>
        <v>7</v>
      </c>
      <c r="H132" s="4">
        <f t="shared" si="14"/>
        <v>12546.000000000002</v>
      </c>
      <c r="I132" s="4">
        <f t="shared" si="23"/>
        <v>9224.3902439024387</v>
      </c>
      <c r="J132" s="4">
        <f t="shared" si="21"/>
        <v>711.71428571428589</v>
      </c>
      <c r="K132" s="20">
        <f t="shared" si="22"/>
        <v>0.65864621893178221</v>
      </c>
      <c r="L132" s="5" t="str">
        <f>IFERROR(HLOOKUP(M132,$3:$4,2,0),"")</f>
        <v/>
      </c>
      <c r="M132" s="5" t="str">
        <f>IFERROR(HLOOKUP(D132,$8:$9,2,0),"")</f>
        <v/>
      </c>
      <c r="N132" t="str">
        <f>IFERROR(HLOOKUP(M132,$9:$11,3,0),"")</f>
        <v/>
      </c>
      <c r="O132" s="1" t="str">
        <f t="shared" si="18"/>
        <v/>
      </c>
      <c r="P132">
        <f t="shared" si="19"/>
        <v>0.6</v>
      </c>
    </row>
    <row r="133" spans="1:16" x14ac:dyDescent="0.25">
      <c r="A133" t="s">
        <v>7</v>
      </c>
      <c r="B133" s="15">
        <f t="shared" si="20"/>
        <v>0.1</v>
      </c>
      <c r="C133" s="6">
        <f>IF(M133&lt;&gt;"",B133*O133+C132,C132)</f>
        <v>0.82000000000000006</v>
      </c>
      <c r="D133" s="2">
        <f t="shared" si="15"/>
        <v>15400</v>
      </c>
      <c r="E133" s="2">
        <f t="shared" si="16"/>
        <v>5400</v>
      </c>
      <c r="F133" s="4">
        <f>IF(M133&lt;&gt;"",F132+(C133-C132)*D133/G133,F132)</f>
        <v>1080.5714285714287</v>
      </c>
      <c r="G133">
        <f t="shared" si="17"/>
        <v>7</v>
      </c>
      <c r="H133" s="4">
        <f t="shared" si="14"/>
        <v>12628.000000000002</v>
      </c>
      <c r="I133" s="4">
        <f t="shared" si="23"/>
        <v>9224.3902439024387</v>
      </c>
      <c r="J133" s="4">
        <f t="shared" si="21"/>
        <v>723.42857142857156</v>
      </c>
      <c r="K133" s="20">
        <f t="shared" si="22"/>
        <v>0.66948704389212066</v>
      </c>
      <c r="L133" s="5" t="str">
        <f>IFERROR(HLOOKUP(M133,$3:$4,2,0),"")</f>
        <v/>
      </c>
      <c r="M133" s="5" t="str">
        <f>IFERROR(HLOOKUP(D133,$8:$9,2,0),"")</f>
        <v/>
      </c>
      <c r="N133" t="str">
        <f>IFERROR(HLOOKUP(M133,$9:$11,3,0),"")</f>
        <v/>
      </c>
      <c r="O133" s="1" t="str">
        <f t="shared" si="18"/>
        <v/>
      </c>
      <c r="P133">
        <f t="shared" si="19"/>
        <v>0.6</v>
      </c>
    </row>
    <row r="134" spans="1:16" x14ac:dyDescent="0.25">
      <c r="A134" t="s">
        <v>7</v>
      </c>
      <c r="B134" s="15">
        <f t="shared" si="20"/>
        <v>0.1</v>
      </c>
      <c r="C134" s="6">
        <f>IF(M134&lt;&gt;"",B134*O134+C133,C133)</f>
        <v>0.82000000000000006</v>
      </c>
      <c r="D134" s="2">
        <f t="shared" si="15"/>
        <v>15500</v>
      </c>
      <c r="E134" s="2">
        <f t="shared" si="16"/>
        <v>5500</v>
      </c>
      <c r="F134" s="4">
        <f>IF(M134&lt;&gt;"",F133+(C134-C133)*D134/G134,F133)</f>
        <v>1080.5714285714287</v>
      </c>
      <c r="G134">
        <f t="shared" si="17"/>
        <v>7</v>
      </c>
      <c r="H134" s="4">
        <f t="shared" ref="H134:H197" si="24">C134*D134</f>
        <v>12710.000000000002</v>
      </c>
      <c r="I134" s="4">
        <f t="shared" si="23"/>
        <v>9224.3902439024387</v>
      </c>
      <c r="J134" s="4">
        <f t="shared" si="21"/>
        <v>735.14285714285722</v>
      </c>
      <c r="K134" s="20">
        <f t="shared" si="22"/>
        <v>0.68032786885245899</v>
      </c>
      <c r="L134" s="5" t="str">
        <f>IFERROR(HLOOKUP(M134,$3:$4,2,0),"")</f>
        <v/>
      </c>
      <c r="M134" s="5" t="str">
        <f>IFERROR(HLOOKUP(D134,$8:$9,2,0),"")</f>
        <v/>
      </c>
      <c r="N134" t="str">
        <f>IFERROR(HLOOKUP(M134,$9:$11,3,0),"")</f>
        <v/>
      </c>
      <c r="O134" s="1" t="str">
        <f t="shared" si="18"/>
        <v/>
      </c>
      <c r="P134">
        <f t="shared" si="19"/>
        <v>0.6</v>
      </c>
    </row>
    <row r="135" spans="1:16" x14ac:dyDescent="0.25">
      <c r="A135" t="s">
        <v>7</v>
      </c>
      <c r="B135" s="15">
        <f t="shared" si="20"/>
        <v>0.1</v>
      </c>
      <c r="C135" s="6">
        <f>IF(M135&lt;&gt;"",B135*O135+C134,C134)</f>
        <v>0.82000000000000006</v>
      </c>
      <c r="D135" s="2">
        <f t="shared" si="15"/>
        <v>15600</v>
      </c>
      <c r="E135" s="2">
        <f t="shared" si="16"/>
        <v>5600</v>
      </c>
      <c r="F135" s="4">
        <f>IF(M135&lt;&gt;"",F134+(C135-C134)*D135/G135,F134)</f>
        <v>1080.5714285714287</v>
      </c>
      <c r="G135">
        <f t="shared" si="17"/>
        <v>7</v>
      </c>
      <c r="H135" s="4">
        <f t="shared" si="24"/>
        <v>12792.000000000002</v>
      </c>
      <c r="I135" s="4">
        <f t="shared" si="23"/>
        <v>9224.3902439024387</v>
      </c>
      <c r="J135" s="4">
        <f t="shared" si="21"/>
        <v>746.857142857143</v>
      </c>
      <c r="K135" s="20">
        <f t="shared" si="22"/>
        <v>0.69116869381279755</v>
      </c>
      <c r="L135" s="5" t="str">
        <f>IFERROR(HLOOKUP(M135,$3:$4,2,0),"")</f>
        <v/>
      </c>
      <c r="M135" s="5" t="str">
        <f>IFERROR(HLOOKUP(D135,$8:$9,2,0),"")</f>
        <v/>
      </c>
      <c r="N135" t="str">
        <f>IFERROR(HLOOKUP(M135,$9:$11,3,0),"")</f>
        <v/>
      </c>
      <c r="O135" s="1" t="str">
        <f t="shared" si="18"/>
        <v/>
      </c>
      <c r="P135">
        <f t="shared" si="19"/>
        <v>0.6</v>
      </c>
    </row>
    <row r="136" spans="1:16" x14ac:dyDescent="0.25">
      <c r="A136" t="s">
        <v>7</v>
      </c>
      <c r="B136" s="15">
        <f t="shared" si="20"/>
        <v>0.1</v>
      </c>
      <c r="C136" s="6">
        <f>IF(M136&lt;&gt;"",B136*O136+C135,C135)</f>
        <v>0.82000000000000006</v>
      </c>
      <c r="D136" s="2">
        <f t="shared" ref="D136:D199" si="25">D135+100</f>
        <v>15700</v>
      </c>
      <c r="E136" s="2">
        <f t="shared" si="16"/>
        <v>5700</v>
      </c>
      <c r="F136" s="4">
        <f>IF(M136&lt;&gt;"",F135+(C136-C135)*D136/G136,F135)</f>
        <v>1080.5714285714287</v>
      </c>
      <c r="G136">
        <f t="shared" si="17"/>
        <v>7</v>
      </c>
      <c r="H136" s="4">
        <f t="shared" si="24"/>
        <v>12874.000000000002</v>
      </c>
      <c r="I136" s="4">
        <f t="shared" si="23"/>
        <v>9224.3902439024387</v>
      </c>
      <c r="J136" s="4">
        <f t="shared" si="21"/>
        <v>758.57142857142867</v>
      </c>
      <c r="K136" s="20">
        <f t="shared" si="22"/>
        <v>0.70200951877313589</v>
      </c>
      <c r="L136" s="5" t="str">
        <f>IFERROR(HLOOKUP(M136,$3:$4,2,0),"")</f>
        <v/>
      </c>
      <c r="M136" s="5" t="str">
        <f>IFERROR(HLOOKUP(D136,$8:$9,2,0),"")</f>
        <v/>
      </c>
      <c r="N136" t="str">
        <f>IFERROR(HLOOKUP(M136,$9:$11,3,0),"")</f>
        <v/>
      </c>
      <c r="O136" s="1" t="str">
        <f t="shared" si="18"/>
        <v/>
      </c>
      <c r="P136">
        <f t="shared" si="19"/>
        <v>0.6</v>
      </c>
    </row>
    <row r="137" spans="1:16" x14ac:dyDescent="0.25">
      <c r="A137" t="s">
        <v>7</v>
      </c>
      <c r="B137" s="15">
        <f t="shared" si="20"/>
        <v>0.1</v>
      </c>
      <c r="C137" s="6">
        <f>IF(M137&lt;&gt;"",B137*O137+C136,C136)</f>
        <v>0.82000000000000006</v>
      </c>
      <c r="D137" s="2">
        <f t="shared" si="25"/>
        <v>15800</v>
      </c>
      <c r="E137" s="2">
        <f t="shared" si="16"/>
        <v>5800</v>
      </c>
      <c r="F137" s="4">
        <f>IF(M137&lt;&gt;"",F136+(C137-C136)*D137/G137,F136)</f>
        <v>1080.5714285714287</v>
      </c>
      <c r="G137">
        <f t="shared" si="17"/>
        <v>7</v>
      </c>
      <c r="H137" s="4">
        <f t="shared" si="24"/>
        <v>12956.000000000002</v>
      </c>
      <c r="I137" s="4">
        <f t="shared" si="23"/>
        <v>9224.3902439024387</v>
      </c>
      <c r="J137" s="4">
        <f t="shared" si="21"/>
        <v>770.28571428571445</v>
      </c>
      <c r="K137" s="20">
        <f t="shared" si="22"/>
        <v>0.71285034373347445</v>
      </c>
      <c r="L137" s="5" t="str">
        <f>IFERROR(HLOOKUP(M137,$3:$4,2,0),"")</f>
        <v/>
      </c>
      <c r="M137" s="5" t="str">
        <f>IFERROR(HLOOKUP(D137,$8:$9,2,0),"")</f>
        <v/>
      </c>
      <c r="N137" t="str">
        <f>IFERROR(HLOOKUP(M137,$9:$11,3,0),"")</f>
        <v/>
      </c>
      <c r="O137" s="1" t="str">
        <f t="shared" si="18"/>
        <v/>
      </c>
      <c r="P137">
        <f t="shared" si="19"/>
        <v>0.6</v>
      </c>
    </row>
    <row r="138" spans="1:16" x14ac:dyDescent="0.25">
      <c r="A138" t="s">
        <v>7</v>
      </c>
      <c r="B138" s="15">
        <f t="shared" si="20"/>
        <v>0.1</v>
      </c>
      <c r="C138" s="6">
        <f>IF(M138&lt;&gt;"",B138*O138+C137,C137)</f>
        <v>0.82000000000000006</v>
      </c>
      <c r="D138" s="2">
        <f t="shared" si="25"/>
        <v>15900</v>
      </c>
      <c r="E138" s="2">
        <f t="shared" si="16"/>
        <v>5900</v>
      </c>
      <c r="F138" s="4">
        <f>IF(M138&lt;&gt;"",F137+(C138-C137)*D138/G138,F137)</f>
        <v>1080.5714285714287</v>
      </c>
      <c r="G138">
        <f t="shared" si="17"/>
        <v>7</v>
      </c>
      <c r="H138" s="4">
        <f t="shared" si="24"/>
        <v>13038.000000000002</v>
      </c>
      <c r="I138" s="4">
        <f t="shared" si="23"/>
        <v>9224.3902439024387</v>
      </c>
      <c r="J138" s="4">
        <f t="shared" si="21"/>
        <v>782.00000000000011</v>
      </c>
      <c r="K138" s="20">
        <f t="shared" si="22"/>
        <v>0.72369116869381289</v>
      </c>
      <c r="L138" s="5" t="str">
        <f>IFERROR(HLOOKUP(M138,$3:$4,2,0),"")</f>
        <v/>
      </c>
      <c r="M138" s="5" t="str">
        <f>IFERROR(HLOOKUP(D138,$8:$9,2,0),"")</f>
        <v/>
      </c>
      <c r="N138" t="str">
        <f>IFERROR(HLOOKUP(M138,$9:$11,3,0),"")</f>
        <v/>
      </c>
      <c r="O138" s="1" t="str">
        <f t="shared" si="18"/>
        <v/>
      </c>
      <c r="P138">
        <f t="shared" si="19"/>
        <v>0.6</v>
      </c>
    </row>
    <row r="139" spans="1:16" x14ac:dyDescent="0.25">
      <c r="A139" t="s">
        <v>7</v>
      </c>
      <c r="B139" s="15">
        <f t="shared" si="20"/>
        <v>0.1</v>
      </c>
      <c r="C139" s="6">
        <f>IF(M139&lt;&gt;"",B139*O139+C138,C138)</f>
        <v>0.82000000000000006</v>
      </c>
      <c r="D139" s="2">
        <f t="shared" si="25"/>
        <v>16000</v>
      </c>
      <c r="E139" s="2">
        <f t="shared" si="16"/>
        <v>6000</v>
      </c>
      <c r="F139" s="4">
        <f>IF(M139&lt;&gt;"",F138+(C139-C138)*D139/G139,F138)</f>
        <v>1080.5714285714287</v>
      </c>
      <c r="G139">
        <f t="shared" si="17"/>
        <v>7</v>
      </c>
      <c r="H139" s="4">
        <f t="shared" si="24"/>
        <v>13120.000000000002</v>
      </c>
      <c r="I139" s="4">
        <f t="shared" si="23"/>
        <v>9224.3902439024387</v>
      </c>
      <c r="J139" s="4">
        <f t="shared" si="21"/>
        <v>793.71428571428589</v>
      </c>
      <c r="K139" s="20">
        <f t="shared" si="22"/>
        <v>0.73453199365415134</v>
      </c>
      <c r="L139" s="5" t="str">
        <f>IFERROR(HLOOKUP(M139,$3:$4,2,0),"")</f>
        <v/>
      </c>
      <c r="M139" s="5" t="str">
        <f>IFERROR(HLOOKUP(D139,$8:$9,2,0),"")</f>
        <v/>
      </c>
      <c r="N139" t="str">
        <f>IFERROR(HLOOKUP(M139,$9:$11,3,0),"")</f>
        <v/>
      </c>
      <c r="O139" s="1" t="str">
        <f t="shared" si="18"/>
        <v/>
      </c>
      <c r="P139">
        <f t="shared" si="19"/>
        <v>0.6</v>
      </c>
    </row>
    <row r="140" spans="1:16" x14ac:dyDescent="0.25">
      <c r="A140" t="s">
        <v>7</v>
      </c>
      <c r="B140" s="15">
        <f t="shared" si="20"/>
        <v>0.1</v>
      </c>
      <c r="C140" s="6">
        <f>IF(M140&lt;&gt;"",B140*O140+C139,C139)</f>
        <v>0.82000000000000006</v>
      </c>
      <c r="D140" s="2">
        <f t="shared" si="25"/>
        <v>16100</v>
      </c>
      <c r="E140" s="2">
        <f t="shared" si="16"/>
        <v>6100</v>
      </c>
      <c r="F140" s="4">
        <f>IF(M140&lt;&gt;"",F139+(C140-C139)*D140/G140,F139)</f>
        <v>1080.5714285714287</v>
      </c>
      <c r="G140">
        <f t="shared" si="17"/>
        <v>7</v>
      </c>
      <c r="H140" s="4">
        <f t="shared" si="24"/>
        <v>13202.000000000002</v>
      </c>
      <c r="I140" s="4">
        <f t="shared" si="23"/>
        <v>9224.3902439024387</v>
      </c>
      <c r="J140" s="4">
        <f t="shared" si="21"/>
        <v>805.42857142857156</v>
      </c>
      <c r="K140" s="20">
        <f t="shared" si="22"/>
        <v>0.74537281861448978</v>
      </c>
      <c r="L140" s="5" t="str">
        <f>IFERROR(HLOOKUP(M140,$3:$4,2,0),"")</f>
        <v/>
      </c>
      <c r="M140" s="5" t="str">
        <f>IFERROR(HLOOKUP(D140,$8:$9,2,0),"")</f>
        <v/>
      </c>
      <c r="N140" t="str">
        <f>IFERROR(HLOOKUP(M140,$9:$11,3,0),"")</f>
        <v/>
      </c>
      <c r="O140" s="1" t="str">
        <f t="shared" si="18"/>
        <v/>
      </c>
      <c r="P140">
        <f t="shared" si="19"/>
        <v>0.6</v>
      </c>
    </row>
    <row r="141" spans="1:16" x14ac:dyDescent="0.25">
      <c r="A141" t="s">
        <v>7</v>
      </c>
      <c r="B141" s="15">
        <f t="shared" si="20"/>
        <v>0.1</v>
      </c>
      <c r="C141" s="6">
        <f>IF(M141&lt;&gt;"",B141*O141+C140,C140)</f>
        <v>0.82000000000000006</v>
      </c>
      <c r="D141" s="2">
        <f t="shared" si="25"/>
        <v>16200</v>
      </c>
      <c r="E141" s="2">
        <f t="shared" si="16"/>
        <v>6200</v>
      </c>
      <c r="F141" s="4">
        <f>IF(M141&lt;&gt;"",F140+(C141-C140)*D141/G141,F140)</f>
        <v>1080.5714285714287</v>
      </c>
      <c r="G141">
        <f t="shared" si="17"/>
        <v>7</v>
      </c>
      <c r="H141" s="4">
        <f t="shared" si="24"/>
        <v>13284.000000000002</v>
      </c>
      <c r="I141" s="4">
        <f t="shared" si="23"/>
        <v>9224.3902439024387</v>
      </c>
      <c r="J141" s="4">
        <f t="shared" si="21"/>
        <v>817.14285714285722</v>
      </c>
      <c r="K141" s="20">
        <f t="shared" si="22"/>
        <v>0.75621364357482812</v>
      </c>
      <c r="L141" s="5" t="str">
        <f>IFERROR(HLOOKUP(M141,$3:$4,2,0),"")</f>
        <v/>
      </c>
      <c r="M141" s="5" t="str">
        <f>IFERROR(HLOOKUP(D141,$8:$9,2,0),"")</f>
        <v/>
      </c>
      <c r="N141" t="str">
        <f>IFERROR(HLOOKUP(M141,$9:$11,3,0),"")</f>
        <v/>
      </c>
      <c r="O141" s="1" t="str">
        <f t="shared" si="18"/>
        <v/>
      </c>
      <c r="P141">
        <f t="shared" si="19"/>
        <v>0.6</v>
      </c>
    </row>
    <row r="142" spans="1:16" x14ac:dyDescent="0.25">
      <c r="A142" t="s">
        <v>7</v>
      </c>
      <c r="B142" s="15">
        <f t="shared" si="20"/>
        <v>0.1</v>
      </c>
      <c r="C142" s="6">
        <f>IF(M142&lt;&gt;"",B142*O142+C141,C141)</f>
        <v>0.82000000000000006</v>
      </c>
      <c r="D142" s="2">
        <f t="shared" si="25"/>
        <v>16300</v>
      </c>
      <c r="E142" s="2">
        <f t="shared" si="16"/>
        <v>6300</v>
      </c>
      <c r="F142" s="4">
        <f>IF(M142&lt;&gt;"",F141+(C142-C141)*D142/G142,F141)</f>
        <v>1080.5714285714287</v>
      </c>
      <c r="G142">
        <f t="shared" si="17"/>
        <v>7</v>
      </c>
      <c r="H142" s="4">
        <f t="shared" si="24"/>
        <v>13366.000000000002</v>
      </c>
      <c r="I142" s="4">
        <f t="shared" si="23"/>
        <v>9224.3902439024387</v>
      </c>
      <c r="J142" s="4">
        <f t="shared" si="21"/>
        <v>828.857142857143</v>
      </c>
      <c r="K142" s="20">
        <f t="shared" si="22"/>
        <v>0.76705446853516668</v>
      </c>
      <c r="L142" s="5" t="str">
        <f>IFERROR(HLOOKUP(M142,$3:$4,2,0),"")</f>
        <v/>
      </c>
      <c r="M142" s="5" t="str">
        <f>IFERROR(HLOOKUP(D142,$8:$9,2,0),"")</f>
        <v/>
      </c>
      <c r="N142" t="str">
        <f>IFERROR(HLOOKUP(M142,$9:$11,3,0),"")</f>
        <v/>
      </c>
      <c r="O142" s="1" t="str">
        <f t="shared" si="18"/>
        <v/>
      </c>
      <c r="P142">
        <f t="shared" si="19"/>
        <v>0.6</v>
      </c>
    </row>
    <row r="143" spans="1:16" x14ac:dyDescent="0.25">
      <c r="A143" t="s">
        <v>7</v>
      </c>
      <c r="B143" s="15">
        <f t="shared" si="20"/>
        <v>0.1</v>
      </c>
      <c r="C143" s="6">
        <f>IF(M143&lt;&gt;"",B143*O143+C142,C142)</f>
        <v>0.82000000000000006</v>
      </c>
      <c r="D143" s="2">
        <f t="shared" si="25"/>
        <v>16400</v>
      </c>
      <c r="E143" s="2">
        <f t="shared" si="16"/>
        <v>6400</v>
      </c>
      <c r="F143" s="4">
        <f>IF(M143&lt;&gt;"",F142+(C143-C142)*D143/G143,F142)</f>
        <v>1080.5714285714287</v>
      </c>
      <c r="G143">
        <f t="shared" si="17"/>
        <v>7</v>
      </c>
      <c r="H143" s="4">
        <f t="shared" si="24"/>
        <v>13448.000000000002</v>
      </c>
      <c r="I143" s="4">
        <f t="shared" si="23"/>
        <v>9224.3902439024387</v>
      </c>
      <c r="J143" s="4">
        <f t="shared" si="21"/>
        <v>840.57142857142867</v>
      </c>
      <c r="K143" s="20">
        <f t="shared" si="22"/>
        <v>0.77789529349550501</v>
      </c>
      <c r="L143" s="5" t="str">
        <f>IFERROR(HLOOKUP(M143,$3:$4,2,0),"")</f>
        <v/>
      </c>
      <c r="M143" s="5" t="str">
        <f>IFERROR(HLOOKUP(D143,$8:$9,2,0),"")</f>
        <v/>
      </c>
      <c r="N143" t="str">
        <f>IFERROR(HLOOKUP(M143,$9:$11,3,0),"")</f>
        <v/>
      </c>
      <c r="O143" s="1" t="str">
        <f t="shared" si="18"/>
        <v/>
      </c>
      <c r="P143">
        <f t="shared" si="19"/>
        <v>0.6</v>
      </c>
    </row>
    <row r="144" spans="1:16" x14ac:dyDescent="0.25">
      <c r="A144" t="s">
        <v>7</v>
      </c>
      <c r="B144" s="15">
        <f t="shared" si="20"/>
        <v>0.1</v>
      </c>
      <c r="C144" s="6">
        <f>IF(M144&lt;&gt;"",B144*O144+C143,C143)</f>
        <v>0.82000000000000006</v>
      </c>
      <c r="D144" s="2">
        <f t="shared" si="25"/>
        <v>16500</v>
      </c>
      <c r="E144" s="2">
        <f t="shared" si="16"/>
        <v>6500</v>
      </c>
      <c r="F144" s="4">
        <f>IF(M144&lt;&gt;"",F143+(C144-C143)*D144/G144,F143)</f>
        <v>1080.5714285714287</v>
      </c>
      <c r="G144">
        <f t="shared" si="17"/>
        <v>7</v>
      </c>
      <c r="H144" s="4">
        <f t="shared" si="24"/>
        <v>13530.000000000002</v>
      </c>
      <c r="I144" s="4">
        <f t="shared" si="23"/>
        <v>9224.3902439024387</v>
      </c>
      <c r="J144" s="4">
        <f t="shared" si="21"/>
        <v>852.28571428571445</v>
      </c>
      <c r="K144" s="20">
        <f t="shared" si="22"/>
        <v>0.78873611845584357</v>
      </c>
      <c r="L144" s="5" t="str">
        <f>IFERROR(HLOOKUP(M144,$3:$4,2,0),"")</f>
        <v/>
      </c>
      <c r="M144" s="5" t="str">
        <f>IFERROR(HLOOKUP(D144,$8:$9,2,0),"")</f>
        <v/>
      </c>
      <c r="N144" t="str">
        <f>IFERROR(HLOOKUP(M144,$9:$11,3,0),"")</f>
        <v/>
      </c>
      <c r="O144" s="1" t="str">
        <f t="shared" si="18"/>
        <v/>
      </c>
      <c r="P144">
        <f t="shared" si="19"/>
        <v>0.6</v>
      </c>
    </row>
    <row r="145" spans="1:16" x14ac:dyDescent="0.25">
      <c r="A145" t="s">
        <v>7</v>
      </c>
      <c r="B145" s="15">
        <f t="shared" si="20"/>
        <v>0.1</v>
      </c>
      <c r="C145" s="6">
        <f>IF(M145&lt;&gt;"",B145*O145+C144,C144)</f>
        <v>0.82000000000000006</v>
      </c>
      <c r="D145" s="2">
        <f t="shared" si="25"/>
        <v>16600</v>
      </c>
      <c r="E145" s="2">
        <f t="shared" si="16"/>
        <v>6600</v>
      </c>
      <c r="F145" s="4">
        <f>IF(M145&lt;&gt;"",F144+(C145-C144)*D145/G145,F144)</f>
        <v>1080.5714285714287</v>
      </c>
      <c r="G145">
        <f t="shared" si="17"/>
        <v>7</v>
      </c>
      <c r="H145" s="4">
        <f t="shared" si="24"/>
        <v>13612.000000000002</v>
      </c>
      <c r="I145" s="4">
        <f t="shared" si="23"/>
        <v>9224.3902439024387</v>
      </c>
      <c r="J145" s="4">
        <f t="shared" si="21"/>
        <v>864.00000000000011</v>
      </c>
      <c r="K145" s="20">
        <f t="shared" si="22"/>
        <v>0.79957694341618191</v>
      </c>
      <c r="L145" s="5" t="str">
        <f>IFERROR(HLOOKUP(M145,$3:$4,2,0),"")</f>
        <v/>
      </c>
      <c r="M145" s="5" t="str">
        <f>IFERROR(HLOOKUP(D145,$8:$9,2,0),"")</f>
        <v/>
      </c>
      <c r="N145" t="str">
        <f>IFERROR(HLOOKUP(M145,$9:$11,3,0),"")</f>
        <v/>
      </c>
      <c r="O145" s="1" t="str">
        <f t="shared" si="18"/>
        <v/>
      </c>
      <c r="P145">
        <f t="shared" si="19"/>
        <v>0.6</v>
      </c>
    </row>
    <row r="146" spans="1:16" x14ac:dyDescent="0.25">
      <c r="A146" t="s">
        <v>7</v>
      </c>
      <c r="B146" s="15">
        <f t="shared" si="20"/>
        <v>0.1</v>
      </c>
      <c r="C146" s="6">
        <f>IF(M146&lt;&gt;"",B146*O146+C145,C145)</f>
        <v>0.82000000000000006</v>
      </c>
      <c r="D146" s="2">
        <f t="shared" si="25"/>
        <v>16700</v>
      </c>
      <c r="E146" s="2">
        <f t="shared" si="16"/>
        <v>6700</v>
      </c>
      <c r="F146" s="4">
        <f>IF(M146&lt;&gt;"",F145+(C146-C145)*D146/G146,F145)</f>
        <v>1080.5714285714287</v>
      </c>
      <c r="G146">
        <f t="shared" si="17"/>
        <v>7</v>
      </c>
      <c r="H146" s="4">
        <f t="shared" si="24"/>
        <v>13694.000000000002</v>
      </c>
      <c r="I146" s="4">
        <f t="shared" si="23"/>
        <v>9224.3902439024387</v>
      </c>
      <c r="J146" s="4">
        <f t="shared" si="21"/>
        <v>875.71428571428589</v>
      </c>
      <c r="K146" s="20">
        <f t="shared" si="22"/>
        <v>0.81041776837652046</v>
      </c>
      <c r="L146" s="5" t="str">
        <f>IFERROR(HLOOKUP(M146,$3:$4,2,0),"")</f>
        <v/>
      </c>
      <c r="M146" s="5" t="str">
        <f>IFERROR(HLOOKUP(D146,$8:$9,2,0),"")</f>
        <v/>
      </c>
      <c r="N146" t="str">
        <f>IFERROR(HLOOKUP(M146,$9:$11,3,0),"")</f>
        <v/>
      </c>
      <c r="O146" s="1" t="str">
        <f t="shared" si="18"/>
        <v/>
      </c>
      <c r="P146">
        <f t="shared" si="19"/>
        <v>0.6</v>
      </c>
    </row>
    <row r="147" spans="1:16" x14ac:dyDescent="0.25">
      <c r="A147" t="s">
        <v>7</v>
      </c>
      <c r="B147" s="15">
        <f t="shared" si="20"/>
        <v>0.1</v>
      </c>
      <c r="C147" s="6">
        <f>IF(M147&lt;&gt;"",B147*O147+C146,C146)</f>
        <v>0.82000000000000006</v>
      </c>
      <c r="D147" s="2">
        <f t="shared" si="25"/>
        <v>16800</v>
      </c>
      <c r="E147" s="2">
        <f t="shared" si="16"/>
        <v>6800</v>
      </c>
      <c r="F147" s="4">
        <f>IF(M147&lt;&gt;"",F146+(C147-C146)*D147/G147,F146)</f>
        <v>1080.5714285714287</v>
      </c>
      <c r="G147">
        <f t="shared" si="17"/>
        <v>7</v>
      </c>
      <c r="H147" s="4">
        <f t="shared" si="24"/>
        <v>13776.000000000002</v>
      </c>
      <c r="I147" s="4">
        <f t="shared" si="23"/>
        <v>9224.3902439024387</v>
      </c>
      <c r="J147" s="4">
        <f t="shared" si="21"/>
        <v>887.42857142857156</v>
      </c>
      <c r="K147" s="20">
        <f t="shared" si="22"/>
        <v>0.8212585933368588</v>
      </c>
      <c r="L147" s="5" t="str">
        <f>IFERROR(HLOOKUP(M147,$3:$4,2,0),"")</f>
        <v/>
      </c>
      <c r="M147" s="5" t="str">
        <f>IFERROR(HLOOKUP(D147,$8:$9,2,0),"")</f>
        <v/>
      </c>
      <c r="N147" t="str">
        <f>IFERROR(HLOOKUP(M147,$9:$11,3,0),"")</f>
        <v/>
      </c>
      <c r="O147" s="1" t="str">
        <f t="shared" si="18"/>
        <v/>
      </c>
      <c r="P147">
        <f t="shared" si="19"/>
        <v>0.6</v>
      </c>
    </row>
    <row r="148" spans="1:16" x14ac:dyDescent="0.25">
      <c r="A148" t="s">
        <v>7</v>
      </c>
      <c r="B148" s="15">
        <f t="shared" si="20"/>
        <v>0.1</v>
      </c>
      <c r="C148" s="6">
        <f>IF(M148&lt;&gt;"",B148*O148+C147,C147)</f>
        <v>0.82000000000000006</v>
      </c>
      <c r="D148" s="2">
        <f t="shared" si="25"/>
        <v>16900</v>
      </c>
      <c r="E148" s="2">
        <f t="shared" ref="E148:E203" si="26">D148-$D$19</f>
        <v>6900</v>
      </c>
      <c r="F148" s="4">
        <f>IF(M148&lt;&gt;"",F147+(C148-C147)*D148/G148,F147)</f>
        <v>1080.5714285714287</v>
      </c>
      <c r="G148">
        <f t="shared" ref="G148:G203" si="27">$H$16</f>
        <v>7</v>
      </c>
      <c r="H148" s="4">
        <f t="shared" si="24"/>
        <v>13858.000000000002</v>
      </c>
      <c r="I148" s="4">
        <f t="shared" si="23"/>
        <v>9224.3902439024387</v>
      </c>
      <c r="J148" s="4">
        <f t="shared" si="21"/>
        <v>899.14285714285722</v>
      </c>
      <c r="K148" s="20">
        <f t="shared" si="22"/>
        <v>0.83209941829719725</v>
      </c>
      <c r="L148" s="5" t="str">
        <f>IFERROR(HLOOKUP(M148,$3:$4,2,0),"")</f>
        <v/>
      </c>
      <c r="M148" s="5" t="str">
        <f>IFERROR(HLOOKUP(D148,$8:$9,2,0),"")</f>
        <v/>
      </c>
      <c r="N148" t="str">
        <f>IFERROR(HLOOKUP(M148,$9:$11,3,0),"")</f>
        <v/>
      </c>
      <c r="O148" s="1" t="str">
        <f t="shared" ref="O148:O203" si="28">IFERROR(P148*N148,"")</f>
        <v/>
      </c>
      <c r="P148">
        <f t="shared" ref="P148:P203" si="29">0.6</f>
        <v>0.6</v>
      </c>
    </row>
    <row r="149" spans="1:16" x14ac:dyDescent="0.25">
      <c r="A149" t="s">
        <v>7</v>
      </c>
      <c r="B149" s="15">
        <f t="shared" ref="B149:B203" si="30">B148</f>
        <v>0.1</v>
      </c>
      <c r="C149" s="6">
        <f>IF(M149&lt;&gt;"",B149*O149+C148,C148)</f>
        <v>0.82000000000000006</v>
      </c>
      <c r="D149" s="2">
        <f t="shared" si="25"/>
        <v>17000</v>
      </c>
      <c r="E149" s="2">
        <f t="shared" si="26"/>
        <v>7000</v>
      </c>
      <c r="F149" s="4">
        <f>IF(M149&lt;&gt;"",F148+(C149-C148)*D149/G149,F148)</f>
        <v>1080.5714285714287</v>
      </c>
      <c r="G149">
        <f t="shared" si="27"/>
        <v>7</v>
      </c>
      <c r="H149" s="4">
        <f t="shared" si="24"/>
        <v>13940.000000000002</v>
      </c>
      <c r="I149" s="4">
        <f t="shared" si="23"/>
        <v>9224.3902439024387</v>
      </c>
      <c r="J149" s="4">
        <f t="shared" ref="J149:J203" si="31">(D149-I149)*C149/G149</f>
        <v>910.857142857143</v>
      </c>
      <c r="K149" s="20">
        <f t="shared" ref="K149:K203" si="32">J149/F149</f>
        <v>0.8429402432575358</v>
      </c>
      <c r="L149" s="5" t="str">
        <f>IFERROR(HLOOKUP(M149,$3:$4,2,0),"")</f>
        <v/>
      </c>
      <c r="M149" s="5" t="str">
        <f>IFERROR(HLOOKUP(D149,$8:$9,2,0),"")</f>
        <v/>
      </c>
      <c r="N149" t="str">
        <f>IFERROR(HLOOKUP(M149,$9:$11,3,0),"")</f>
        <v/>
      </c>
      <c r="O149" s="1" t="str">
        <f t="shared" si="28"/>
        <v/>
      </c>
      <c r="P149">
        <f t="shared" si="29"/>
        <v>0.6</v>
      </c>
    </row>
    <row r="150" spans="1:16" x14ac:dyDescent="0.25">
      <c r="A150" t="s">
        <v>7</v>
      </c>
      <c r="B150" s="15">
        <f t="shared" si="30"/>
        <v>0.1</v>
      </c>
      <c r="C150" s="6">
        <f>IF(M150&lt;&gt;"",B150*O150+C149,C149)</f>
        <v>0.82000000000000006</v>
      </c>
      <c r="D150" s="2">
        <f t="shared" si="25"/>
        <v>17100</v>
      </c>
      <c r="E150" s="2">
        <f t="shared" si="26"/>
        <v>7100</v>
      </c>
      <c r="F150" s="4">
        <f>IF(M150&lt;&gt;"",F149+(C150-C149)*D150/G150,F149)</f>
        <v>1080.5714285714287</v>
      </c>
      <c r="G150">
        <f t="shared" si="27"/>
        <v>7</v>
      </c>
      <c r="H150" s="4">
        <f t="shared" si="24"/>
        <v>14022.000000000002</v>
      </c>
      <c r="I150" s="4">
        <f t="shared" si="23"/>
        <v>9224.3902439024387</v>
      </c>
      <c r="J150" s="4">
        <f t="shared" si="31"/>
        <v>922.57142857142867</v>
      </c>
      <c r="K150" s="20">
        <f t="shared" si="32"/>
        <v>0.85378106821787414</v>
      </c>
      <c r="L150" s="5" t="str">
        <f>IFERROR(HLOOKUP(M150,$3:$4,2,0),"")</f>
        <v/>
      </c>
      <c r="M150" s="5" t="str">
        <f>IFERROR(HLOOKUP(D150,$8:$9,2,0),"")</f>
        <v/>
      </c>
      <c r="N150" t="str">
        <f>IFERROR(HLOOKUP(M150,$9:$11,3,0),"")</f>
        <v/>
      </c>
      <c r="O150" s="1" t="str">
        <f t="shared" si="28"/>
        <v/>
      </c>
      <c r="P150">
        <f t="shared" si="29"/>
        <v>0.6</v>
      </c>
    </row>
    <row r="151" spans="1:16" x14ac:dyDescent="0.25">
      <c r="A151" t="s">
        <v>7</v>
      </c>
      <c r="B151" s="15">
        <f t="shared" si="30"/>
        <v>0.1</v>
      </c>
      <c r="C151" s="6">
        <f>IF(M151&lt;&gt;"",B151*O151+C150,C150)</f>
        <v>0.82000000000000006</v>
      </c>
      <c r="D151" s="2">
        <f t="shared" si="25"/>
        <v>17200</v>
      </c>
      <c r="E151" s="2">
        <f t="shared" si="26"/>
        <v>7200</v>
      </c>
      <c r="F151" s="4">
        <f>IF(M151&lt;&gt;"",F150+(C151-C150)*D151/G151,F150)</f>
        <v>1080.5714285714287</v>
      </c>
      <c r="G151">
        <f t="shared" si="27"/>
        <v>7</v>
      </c>
      <c r="H151" s="4">
        <f t="shared" si="24"/>
        <v>14104.000000000002</v>
      </c>
      <c r="I151" s="4">
        <f t="shared" si="23"/>
        <v>9224.3902439024387</v>
      </c>
      <c r="J151" s="4">
        <f t="shared" si="31"/>
        <v>934.28571428571445</v>
      </c>
      <c r="K151" s="20">
        <f t="shared" si="32"/>
        <v>0.8646218931782127</v>
      </c>
      <c r="L151" s="5" t="str">
        <f>IFERROR(HLOOKUP(M151,$3:$4,2,0),"")</f>
        <v/>
      </c>
      <c r="M151" s="5" t="str">
        <f>IFERROR(HLOOKUP(D151,$8:$9,2,0),"")</f>
        <v/>
      </c>
      <c r="N151" t="str">
        <f>IFERROR(HLOOKUP(M151,$9:$11,3,0),"")</f>
        <v/>
      </c>
      <c r="O151" s="1" t="str">
        <f t="shared" si="28"/>
        <v/>
      </c>
      <c r="P151">
        <f t="shared" si="29"/>
        <v>0.6</v>
      </c>
    </row>
    <row r="152" spans="1:16" x14ac:dyDescent="0.25">
      <c r="A152" t="s">
        <v>7</v>
      </c>
      <c r="B152" s="15">
        <f t="shared" si="30"/>
        <v>0.1</v>
      </c>
      <c r="C152" s="6">
        <f>IF(M152&lt;&gt;"",B152*O152+C151,C151)</f>
        <v>0.82000000000000006</v>
      </c>
      <c r="D152" s="2">
        <f t="shared" si="25"/>
        <v>17300</v>
      </c>
      <c r="E152" s="2">
        <f t="shared" si="26"/>
        <v>7300</v>
      </c>
      <c r="F152" s="4">
        <f>IF(M152&lt;&gt;"",F151+(C152-C151)*D152/G152,F151)</f>
        <v>1080.5714285714287</v>
      </c>
      <c r="G152">
        <f t="shared" si="27"/>
        <v>7</v>
      </c>
      <c r="H152" s="4">
        <f t="shared" si="24"/>
        <v>14186.000000000002</v>
      </c>
      <c r="I152" s="4">
        <f t="shared" si="23"/>
        <v>9224.3902439024387</v>
      </c>
      <c r="J152" s="4">
        <f t="shared" si="31"/>
        <v>946.00000000000011</v>
      </c>
      <c r="K152" s="20">
        <f t="shared" si="32"/>
        <v>0.87546271813855103</v>
      </c>
      <c r="L152" s="5" t="str">
        <f>IFERROR(HLOOKUP(M152,$3:$4,2,0),"")</f>
        <v/>
      </c>
      <c r="M152" s="5" t="str">
        <f>IFERROR(HLOOKUP(D152,$8:$9,2,0),"")</f>
        <v/>
      </c>
      <c r="N152" t="str">
        <f>IFERROR(HLOOKUP(M152,$9:$11,3,0),"")</f>
        <v/>
      </c>
      <c r="O152" s="1" t="str">
        <f t="shared" si="28"/>
        <v/>
      </c>
      <c r="P152">
        <f t="shared" si="29"/>
        <v>0.6</v>
      </c>
    </row>
    <row r="153" spans="1:16" x14ac:dyDescent="0.25">
      <c r="A153" t="s">
        <v>7</v>
      </c>
      <c r="B153" s="15">
        <f t="shared" si="30"/>
        <v>0.1</v>
      </c>
      <c r="C153" s="6">
        <f>IF(M153&lt;&gt;"",B153*O153+C152,C152)</f>
        <v>0.82000000000000006</v>
      </c>
      <c r="D153" s="2">
        <f t="shared" si="25"/>
        <v>17400</v>
      </c>
      <c r="E153" s="2">
        <f t="shared" si="26"/>
        <v>7400</v>
      </c>
      <c r="F153" s="4">
        <f>IF(M153&lt;&gt;"",F152+(C153-C152)*D153/G153,F152)</f>
        <v>1080.5714285714287</v>
      </c>
      <c r="G153">
        <f t="shared" si="27"/>
        <v>7</v>
      </c>
      <c r="H153" s="4">
        <f t="shared" si="24"/>
        <v>14268.000000000002</v>
      </c>
      <c r="I153" s="4">
        <f t="shared" si="23"/>
        <v>9224.3902439024387</v>
      </c>
      <c r="J153" s="4">
        <f t="shared" si="31"/>
        <v>957.71428571428589</v>
      </c>
      <c r="K153" s="20">
        <f t="shared" si="32"/>
        <v>0.88630354309888959</v>
      </c>
      <c r="L153" s="5" t="str">
        <f>IFERROR(HLOOKUP(M153,$3:$4,2,0),"")</f>
        <v/>
      </c>
      <c r="M153" s="5" t="str">
        <f>IFERROR(HLOOKUP(D153,$8:$9,2,0),"")</f>
        <v/>
      </c>
      <c r="N153" t="str">
        <f>IFERROR(HLOOKUP(M153,$9:$11,3,0),"")</f>
        <v/>
      </c>
      <c r="O153" s="1" t="str">
        <f t="shared" si="28"/>
        <v/>
      </c>
      <c r="P153">
        <f t="shared" si="29"/>
        <v>0.6</v>
      </c>
    </row>
    <row r="154" spans="1:16" x14ac:dyDescent="0.25">
      <c r="A154" t="s">
        <v>7</v>
      </c>
      <c r="B154" s="15">
        <f t="shared" si="30"/>
        <v>0.1</v>
      </c>
      <c r="C154" s="6">
        <f>IF(M154&lt;&gt;"",B154*O154+C153,C153)</f>
        <v>0.82000000000000006</v>
      </c>
      <c r="D154" s="2">
        <f t="shared" si="25"/>
        <v>17500</v>
      </c>
      <c r="E154" s="2">
        <f t="shared" si="26"/>
        <v>7500</v>
      </c>
      <c r="F154" s="4">
        <f>IF(M154&lt;&gt;"",F153+(C154-C153)*D154/G154,F153)</f>
        <v>1080.5714285714287</v>
      </c>
      <c r="G154">
        <f t="shared" si="27"/>
        <v>7</v>
      </c>
      <c r="H154" s="4">
        <f t="shared" si="24"/>
        <v>14350.000000000002</v>
      </c>
      <c r="I154" s="4">
        <f t="shared" si="23"/>
        <v>9224.3902439024387</v>
      </c>
      <c r="J154" s="4">
        <f t="shared" si="31"/>
        <v>969.42857142857156</v>
      </c>
      <c r="K154" s="20">
        <f t="shared" si="32"/>
        <v>0.89714436805922793</v>
      </c>
      <c r="L154" s="5" t="str">
        <f>IFERROR(HLOOKUP(M154,$3:$4,2,0),"")</f>
        <v/>
      </c>
      <c r="M154" s="5" t="str">
        <f>IFERROR(HLOOKUP(D154,$8:$9,2,0),"")</f>
        <v/>
      </c>
      <c r="N154" t="str">
        <f>IFERROR(HLOOKUP(M154,$9:$11,3,0),"")</f>
        <v/>
      </c>
      <c r="O154" s="1" t="str">
        <f t="shared" si="28"/>
        <v/>
      </c>
      <c r="P154">
        <f t="shared" si="29"/>
        <v>0.6</v>
      </c>
    </row>
    <row r="155" spans="1:16" x14ac:dyDescent="0.25">
      <c r="A155" t="s">
        <v>7</v>
      </c>
      <c r="B155" s="15">
        <f t="shared" si="30"/>
        <v>0.1</v>
      </c>
      <c r="C155" s="6">
        <f>IF(M155&lt;&gt;"",B155*O155+C154,C154)</f>
        <v>0.82000000000000006</v>
      </c>
      <c r="D155" s="2">
        <f t="shared" si="25"/>
        <v>17600</v>
      </c>
      <c r="E155" s="2">
        <f t="shared" si="26"/>
        <v>7600</v>
      </c>
      <c r="F155" s="4">
        <f>IF(M155&lt;&gt;"",F154+(C155-C154)*D155/G155,F154)</f>
        <v>1080.5714285714287</v>
      </c>
      <c r="G155">
        <f t="shared" si="27"/>
        <v>7</v>
      </c>
      <c r="H155" s="4">
        <f t="shared" si="24"/>
        <v>14432.000000000002</v>
      </c>
      <c r="I155" s="4">
        <f t="shared" si="23"/>
        <v>9224.3902439024387</v>
      </c>
      <c r="J155" s="4">
        <f t="shared" si="31"/>
        <v>981.14285714285722</v>
      </c>
      <c r="K155" s="20">
        <f t="shared" si="32"/>
        <v>0.90798519301956637</v>
      </c>
      <c r="L155" s="5" t="str">
        <f>IFERROR(HLOOKUP(M155,$3:$4,2,0),"")</f>
        <v/>
      </c>
      <c r="M155" s="5" t="str">
        <f>IFERROR(HLOOKUP(D155,$8:$9,2,0),"")</f>
        <v/>
      </c>
      <c r="N155" t="str">
        <f>IFERROR(HLOOKUP(M155,$9:$11,3,0),"")</f>
        <v/>
      </c>
      <c r="O155" s="1" t="str">
        <f t="shared" si="28"/>
        <v/>
      </c>
      <c r="P155">
        <f t="shared" si="29"/>
        <v>0.6</v>
      </c>
    </row>
    <row r="156" spans="1:16" x14ac:dyDescent="0.25">
      <c r="A156" t="s">
        <v>7</v>
      </c>
      <c r="B156" s="15">
        <f t="shared" si="30"/>
        <v>0.1</v>
      </c>
      <c r="C156" s="6">
        <f>IF(M156&lt;&gt;"",B156*O156+C155,C155)</f>
        <v>0.82000000000000006</v>
      </c>
      <c r="D156" s="2">
        <f t="shared" si="25"/>
        <v>17700</v>
      </c>
      <c r="E156" s="2">
        <f t="shared" si="26"/>
        <v>7700</v>
      </c>
      <c r="F156" s="4">
        <f>IF(M156&lt;&gt;"",F155+(C156-C155)*D156/G156,F155)</f>
        <v>1080.5714285714287</v>
      </c>
      <c r="G156">
        <f t="shared" si="27"/>
        <v>7</v>
      </c>
      <c r="H156" s="4">
        <f t="shared" si="24"/>
        <v>14514.000000000002</v>
      </c>
      <c r="I156" s="4">
        <f t="shared" si="23"/>
        <v>9224.3902439024387</v>
      </c>
      <c r="J156" s="4">
        <f t="shared" si="31"/>
        <v>992.857142857143</v>
      </c>
      <c r="K156" s="20">
        <f t="shared" si="32"/>
        <v>0.91882601797990482</v>
      </c>
      <c r="L156" s="5" t="str">
        <f>IFERROR(HLOOKUP(M156,$3:$4,2,0),"")</f>
        <v/>
      </c>
      <c r="M156" s="5" t="str">
        <f>IFERROR(HLOOKUP(D156,$8:$9,2,0),"")</f>
        <v/>
      </c>
      <c r="N156" t="str">
        <f>IFERROR(HLOOKUP(M156,$9:$11,3,0),"")</f>
        <v/>
      </c>
      <c r="O156" s="1" t="str">
        <f t="shared" si="28"/>
        <v/>
      </c>
      <c r="P156">
        <f t="shared" si="29"/>
        <v>0.6</v>
      </c>
    </row>
    <row r="157" spans="1:16" x14ac:dyDescent="0.25">
      <c r="A157" t="s">
        <v>7</v>
      </c>
      <c r="B157" s="15">
        <f t="shared" si="30"/>
        <v>0.1</v>
      </c>
      <c r="C157" s="6">
        <f>IF(M157&lt;&gt;"",B157*O157+C156,C156)</f>
        <v>0.82000000000000006</v>
      </c>
      <c r="D157" s="2">
        <f t="shared" si="25"/>
        <v>17800</v>
      </c>
      <c r="E157" s="2">
        <f t="shared" si="26"/>
        <v>7800</v>
      </c>
      <c r="F157" s="4">
        <f>IF(M157&lt;&gt;"",F156+(C157-C156)*D157/G157,F156)</f>
        <v>1080.5714285714287</v>
      </c>
      <c r="G157">
        <f t="shared" si="27"/>
        <v>7</v>
      </c>
      <c r="H157" s="4">
        <f t="shared" si="24"/>
        <v>14596.000000000002</v>
      </c>
      <c r="I157" s="4">
        <f t="shared" si="23"/>
        <v>9224.3902439024387</v>
      </c>
      <c r="J157" s="4">
        <f t="shared" si="31"/>
        <v>1004.5714285714287</v>
      </c>
      <c r="K157" s="20">
        <f t="shared" si="32"/>
        <v>0.92966684294024327</v>
      </c>
      <c r="L157" s="5" t="str">
        <f>IFERROR(HLOOKUP(M157,$3:$4,2,0),"")</f>
        <v/>
      </c>
      <c r="M157" s="5" t="str">
        <f>IFERROR(HLOOKUP(D157,$8:$9,2,0),"")</f>
        <v/>
      </c>
      <c r="N157" t="str">
        <f>IFERROR(HLOOKUP(M157,$9:$11,3,0),"")</f>
        <v/>
      </c>
      <c r="O157" s="1" t="str">
        <f t="shared" si="28"/>
        <v/>
      </c>
      <c r="P157">
        <f t="shared" si="29"/>
        <v>0.6</v>
      </c>
    </row>
    <row r="158" spans="1:16" x14ac:dyDescent="0.25">
      <c r="A158" t="s">
        <v>7</v>
      </c>
      <c r="B158" s="15">
        <f t="shared" si="30"/>
        <v>0.1</v>
      </c>
      <c r="C158" s="6">
        <f>IF(M158&lt;&gt;"",B158*O158+C157,C157)</f>
        <v>0.82000000000000006</v>
      </c>
      <c r="D158" s="2">
        <f t="shared" si="25"/>
        <v>17900</v>
      </c>
      <c r="E158" s="2">
        <f t="shared" si="26"/>
        <v>7900</v>
      </c>
      <c r="F158" s="4">
        <f>IF(M158&lt;&gt;"",F157+(C158-C157)*D158/G158,F157)</f>
        <v>1080.5714285714287</v>
      </c>
      <c r="G158">
        <f t="shared" si="27"/>
        <v>7</v>
      </c>
      <c r="H158" s="4">
        <f t="shared" si="24"/>
        <v>14678.000000000002</v>
      </c>
      <c r="I158" s="4">
        <f t="shared" si="23"/>
        <v>9224.3902439024387</v>
      </c>
      <c r="J158" s="4">
        <f t="shared" si="31"/>
        <v>1016.2857142857144</v>
      </c>
      <c r="K158" s="20">
        <f t="shared" si="32"/>
        <v>0.94050766790058182</v>
      </c>
      <c r="L158" s="5" t="str">
        <f>IFERROR(HLOOKUP(M158,$3:$4,2,0),"")</f>
        <v/>
      </c>
      <c r="M158" s="5" t="str">
        <f>IFERROR(HLOOKUP(D158,$8:$9,2,0),"")</f>
        <v/>
      </c>
      <c r="N158" t="str">
        <f>IFERROR(HLOOKUP(M158,$9:$11,3,0),"")</f>
        <v/>
      </c>
      <c r="O158" s="1" t="str">
        <f t="shared" si="28"/>
        <v/>
      </c>
      <c r="P158">
        <f t="shared" si="29"/>
        <v>0.6</v>
      </c>
    </row>
    <row r="159" spans="1:16" x14ac:dyDescent="0.25">
      <c r="A159" t="s">
        <v>7</v>
      </c>
      <c r="B159" s="15">
        <f t="shared" si="30"/>
        <v>0.1</v>
      </c>
      <c r="C159" s="6">
        <f>IF(M159&lt;&gt;"",B159*O159+C158,C158)</f>
        <v>0.82000000000000006</v>
      </c>
      <c r="D159" s="2">
        <f t="shared" si="25"/>
        <v>18000</v>
      </c>
      <c r="E159" s="2">
        <f t="shared" si="26"/>
        <v>8000</v>
      </c>
      <c r="F159" s="4">
        <f>IF(M159&lt;&gt;"",F158+(C159-C158)*D159/G159,F158)</f>
        <v>1080.5714285714287</v>
      </c>
      <c r="G159">
        <f t="shared" si="27"/>
        <v>7</v>
      </c>
      <c r="H159" s="4">
        <f t="shared" si="24"/>
        <v>14760.000000000002</v>
      </c>
      <c r="I159" s="4">
        <f t="shared" si="23"/>
        <v>9224.3902439024387</v>
      </c>
      <c r="J159" s="4">
        <f t="shared" si="31"/>
        <v>1028.0000000000002</v>
      </c>
      <c r="K159" s="20">
        <f t="shared" si="32"/>
        <v>0.95134849286092027</v>
      </c>
      <c r="L159" s="5" t="str">
        <f>IFERROR(HLOOKUP(M159,$3:$4,2,0),"")</f>
        <v/>
      </c>
      <c r="M159" s="5" t="str">
        <f>IFERROR(HLOOKUP(D159,$8:$9,2,0),"")</f>
        <v/>
      </c>
      <c r="N159" t="str">
        <f>IFERROR(HLOOKUP(M159,$9:$11,3,0),"")</f>
        <v/>
      </c>
      <c r="O159" s="1" t="str">
        <f t="shared" si="28"/>
        <v/>
      </c>
      <c r="P159">
        <f t="shared" si="29"/>
        <v>0.6</v>
      </c>
    </row>
    <row r="160" spans="1:16" x14ac:dyDescent="0.25">
      <c r="A160" t="s">
        <v>7</v>
      </c>
      <c r="B160" s="15">
        <f t="shared" si="30"/>
        <v>0.1</v>
      </c>
      <c r="C160" s="6">
        <f>IF(M160&lt;&gt;"",B160*O160+C159,C159)</f>
        <v>0.82000000000000006</v>
      </c>
      <c r="D160" s="2">
        <f t="shared" si="25"/>
        <v>18100</v>
      </c>
      <c r="E160" s="2">
        <f t="shared" si="26"/>
        <v>8100</v>
      </c>
      <c r="F160" s="4">
        <f>IF(M160&lt;&gt;"",F159+(C160-C159)*D160/G160,F159)</f>
        <v>1080.5714285714287</v>
      </c>
      <c r="G160">
        <f t="shared" si="27"/>
        <v>7</v>
      </c>
      <c r="H160" s="4">
        <f t="shared" si="24"/>
        <v>14842.000000000002</v>
      </c>
      <c r="I160" s="4">
        <f t="shared" si="23"/>
        <v>9224.3902439024387</v>
      </c>
      <c r="J160" s="4">
        <f t="shared" si="31"/>
        <v>1039.7142857142858</v>
      </c>
      <c r="K160" s="20">
        <f t="shared" si="32"/>
        <v>0.96218931782125861</v>
      </c>
      <c r="L160" s="5" t="str">
        <f>IFERROR(HLOOKUP(M160,$3:$4,2,0),"")</f>
        <v/>
      </c>
      <c r="M160" s="5" t="str">
        <f>IFERROR(HLOOKUP(D160,$8:$9,2,0),"")</f>
        <v/>
      </c>
      <c r="N160" t="str">
        <f>IFERROR(HLOOKUP(M160,$9:$11,3,0),"")</f>
        <v/>
      </c>
      <c r="O160" s="1" t="str">
        <f t="shared" si="28"/>
        <v/>
      </c>
      <c r="P160">
        <f t="shared" si="29"/>
        <v>0.6</v>
      </c>
    </row>
    <row r="161" spans="1:16" x14ac:dyDescent="0.25">
      <c r="A161" t="s">
        <v>7</v>
      </c>
      <c r="B161" s="15">
        <f t="shared" si="30"/>
        <v>0.1</v>
      </c>
      <c r="C161" s="6">
        <f>IF(M161&lt;&gt;"",B161*O161+C160,C160)</f>
        <v>0.82000000000000006</v>
      </c>
      <c r="D161" s="2">
        <f t="shared" si="25"/>
        <v>18200</v>
      </c>
      <c r="E161" s="2">
        <f t="shared" si="26"/>
        <v>8200</v>
      </c>
      <c r="F161" s="4">
        <f>IF(M161&lt;&gt;"",F160+(C161-C160)*D161/G161,F160)</f>
        <v>1080.5714285714287</v>
      </c>
      <c r="G161">
        <f t="shared" si="27"/>
        <v>7</v>
      </c>
      <c r="H161" s="4">
        <f t="shared" si="24"/>
        <v>14924.000000000002</v>
      </c>
      <c r="I161" s="4">
        <f t="shared" si="23"/>
        <v>9224.3902439024387</v>
      </c>
      <c r="J161" s="4">
        <f t="shared" si="31"/>
        <v>1051.4285714285716</v>
      </c>
      <c r="K161" s="20">
        <f t="shared" si="32"/>
        <v>0.97303014278159705</v>
      </c>
      <c r="L161" s="5" t="str">
        <f>IFERROR(HLOOKUP(M161,$3:$4,2,0),"")</f>
        <v/>
      </c>
      <c r="M161" s="5" t="str">
        <f>IFERROR(HLOOKUP(D161,$8:$9,2,0),"")</f>
        <v/>
      </c>
      <c r="N161" t="str">
        <f>IFERROR(HLOOKUP(M161,$9:$11,3,0),"")</f>
        <v/>
      </c>
      <c r="O161" s="1" t="str">
        <f t="shared" si="28"/>
        <v/>
      </c>
      <c r="P161">
        <f t="shared" si="29"/>
        <v>0.6</v>
      </c>
    </row>
    <row r="162" spans="1:16" x14ac:dyDescent="0.25">
      <c r="A162" t="s">
        <v>7</v>
      </c>
      <c r="B162" s="15">
        <f t="shared" si="30"/>
        <v>0.1</v>
      </c>
      <c r="C162" s="6">
        <f>IF(M162&lt;&gt;"",B162*O162+C161,C161)</f>
        <v>0.82000000000000006</v>
      </c>
      <c r="D162" s="2">
        <f t="shared" si="25"/>
        <v>18300</v>
      </c>
      <c r="E162" s="2">
        <f t="shared" si="26"/>
        <v>8300</v>
      </c>
      <c r="F162" s="4">
        <f>IF(M162&lt;&gt;"",F161+(C162-C161)*D162/G162,F161)</f>
        <v>1080.5714285714287</v>
      </c>
      <c r="G162">
        <f t="shared" si="27"/>
        <v>7</v>
      </c>
      <c r="H162" s="4">
        <f t="shared" si="24"/>
        <v>15006.000000000002</v>
      </c>
      <c r="I162" s="4">
        <f t="shared" si="23"/>
        <v>9224.3902439024387</v>
      </c>
      <c r="J162" s="4">
        <f t="shared" si="31"/>
        <v>1063.1428571428573</v>
      </c>
      <c r="K162" s="20">
        <f t="shared" si="32"/>
        <v>0.98387096774193561</v>
      </c>
      <c r="L162" s="5" t="str">
        <f>IFERROR(HLOOKUP(M162,$3:$4,2,0),"")</f>
        <v/>
      </c>
      <c r="M162" s="5" t="str">
        <f>IFERROR(HLOOKUP(D162,$8:$9,2,0),"")</f>
        <v/>
      </c>
      <c r="N162" t="str">
        <f>IFERROR(HLOOKUP(M162,$9:$11,3,0),"")</f>
        <v/>
      </c>
      <c r="O162" s="1" t="str">
        <f t="shared" si="28"/>
        <v/>
      </c>
      <c r="P162">
        <f t="shared" si="29"/>
        <v>0.6</v>
      </c>
    </row>
    <row r="163" spans="1:16" x14ac:dyDescent="0.25">
      <c r="A163" t="s">
        <v>7</v>
      </c>
      <c r="B163" s="15">
        <f t="shared" si="30"/>
        <v>0.1</v>
      </c>
      <c r="C163" s="6">
        <f>IF(M163&lt;&gt;"",B163*O163+C162,C162)</f>
        <v>0.82000000000000006</v>
      </c>
      <c r="D163" s="2">
        <f t="shared" si="25"/>
        <v>18400</v>
      </c>
      <c r="E163" s="2">
        <f t="shared" si="26"/>
        <v>8400</v>
      </c>
      <c r="F163" s="4">
        <f>IF(M163&lt;&gt;"",F162+(C163-C162)*D163/G163,F162)</f>
        <v>1080.5714285714287</v>
      </c>
      <c r="G163">
        <f t="shared" si="27"/>
        <v>7</v>
      </c>
      <c r="H163" s="4">
        <f t="shared" si="24"/>
        <v>15088.000000000002</v>
      </c>
      <c r="I163" s="4">
        <f t="shared" si="23"/>
        <v>9224.3902439024387</v>
      </c>
      <c r="J163" s="4">
        <f t="shared" si="31"/>
        <v>1074.8571428571429</v>
      </c>
      <c r="K163" s="20">
        <f t="shared" si="32"/>
        <v>0.99471179270227383</v>
      </c>
      <c r="L163" s="5" t="str">
        <f>IFERROR(HLOOKUP(M163,$3:$4,2,0),"")</f>
        <v/>
      </c>
      <c r="M163" s="5" t="str">
        <f>IFERROR(HLOOKUP(D163,$8:$9,2,0),"")</f>
        <v/>
      </c>
      <c r="N163" t="str">
        <f>IFERROR(HLOOKUP(M163,$9:$11,3,0),"")</f>
        <v/>
      </c>
      <c r="O163" s="1" t="str">
        <f t="shared" si="28"/>
        <v/>
      </c>
      <c r="P163">
        <f t="shared" si="29"/>
        <v>0.6</v>
      </c>
    </row>
    <row r="164" spans="1:16" x14ac:dyDescent="0.25">
      <c r="A164" t="s">
        <v>7</v>
      </c>
      <c r="B164" s="15">
        <f t="shared" si="30"/>
        <v>0.1</v>
      </c>
      <c r="C164" s="6">
        <f>IF(M164&lt;&gt;"",B164*O164+C163,C163)</f>
        <v>0.82000000000000006</v>
      </c>
      <c r="D164" s="2">
        <f t="shared" si="25"/>
        <v>18500</v>
      </c>
      <c r="E164" s="2">
        <f t="shared" si="26"/>
        <v>8500</v>
      </c>
      <c r="F164" s="4">
        <f>IF(M164&lt;&gt;"",F163+(C164-C163)*D164/G164,F163)</f>
        <v>1080.5714285714287</v>
      </c>
      <c r="G164">
        <f t="shared" si="27"/>
        <v>7</v>
      </c>
      <c r="H164" s="4">
        <f t="shared" si="24"/>
        <v>15170.000000000002</v>
      </c>
      <c r="I164" s="4">
        <f t="shared" si="23"/>
        <v>9224.3902439024387</v>
      </c>
      <c r="J164" s="4">
        <f t="shared" si="31"/>
        <v>1086.5714285714287</v>
      </c>
      <c r="K164" s="20">
        <f t="shared" si="32"/>
        <v>1.0055526176626124</v>
      </c>
      <c r="L164" s="5" t="str">
        <f>IFERROR(HLOOKUP(M164,$3:$4,2,0),"")</f>
        <v/>
      </c>
      <c r="M164" s="5" t="str">
        <f>IFERROR(HLOOKUP(D164,$8:$9,2,0),"")</f>
        <v/>
      </c>
      <c r="N164" t="str">
        <f>IFERROR(HLOOKUP(M164,$9:$11,3,0),"")</f>
        <v/>
      </c>
      <c r="O164" s="1" t="str">
        <f t="shared" si="28"/>
        <v/>
      </c>
      <c r="P164">
        <f t="shared" si="29"/>
        <v>0.6</v>
      </c>
    </row>
    <row r="165" spans="1:16" x14ac:dyDescent="0.25">
      <c r="A165" t="s">
        <v>7</v>
      </c>
      <c r="B165" s="15">
        <f t="shared" si="30"/>
        <v>0.1</v>
      </c>
      <c r="C165" s="6">
        <f>IF(M165&lt;&gt;"",B165*O165+C164,C164)</f>
        <v>0.82000000000000006</v>
      </c>
      <c r="D165" s="2">
        <f t="shared" si="25"/>
        <v>18600</v>
      </c>
      <c r="E165" s="2">
        <f t="shared" si="26"/>
        <v>8600</v>
      </c>
      <c r="F165" s="4">
        <f>IF(M165&lt;&gt;"",F164+(C165-C164)*D165/G165,F164)</f>
        <v>1080.5714285714287</v>
      </c>
      <c r="G165">
        <f t="shared" si="27"/>
        <v>7</v>
      </c>
      <c r="H165" s="4">
        <f t="shared" si="24"/>
        <v>15252.000000000002</v>
      </c>
      <c r="I165" s="4">
        <f t="shared" si="23"/>
        <v>9224.3902439024387</v>
      </c>
      <c r="J165" s="4">
        <f t="shared" si="31"/>
        <v>1098.2857142857144</v>
      </c>
      <c r="K165" s="20">
        <f t="shared" si="32"/>
        <v>1.0163934426229508</v>
      </c>
      <c r="L165" s="5" t="str">
        <f>IFERROR(HLOOKUP(M165,$3:$4,2,0),"")</f>
        <v/>
      </c>
      <c r="M165" s="5" t="str">
        <f>IFERROR(HLOOKUP(D165,$8:$9,2,0),"")</f>
        <v/>
      </c>
      <c r="N165" t="str">
        <f>IFERROR(HLOOKUP(M165,$9:$11,3,0),"")</f>
        <v/>
      </c>
      <c r="O165" s="1" t="str">
        <f t="shared" si="28"/>
        <v/>
      </c>
      <c r="P165">
        <f t="shared" si="29"/>
        <v>0.6</v>
      </c>
    </row>
    <row r="166" spans="1:16" x14ac:dyDescent="0.25">
      <c r="A166" t="s">
        <v>7</v>
      </c>
      <c r="B166" s="15">
        <f t="shared" si="30"/>
        <v>0.1</v>
      </c>
      <c r="C166" s="6">
        <f>IF(M166&lt;&gt;"",B166*O166+C165,C165)</f>
        <v>0.82000000000000006</v>
      </c>
      <c r="D166" s="2">
        <f t="shared" si="25"/>
        <v>18700</v>
      </c>
      <c r="E166" s="2">
        <f t="shared" si="26"/>
        <v>8700</v>
      </c>
      <c r="F166" s="4">
        <f>IF(M166&lt;&gt;"",F165+(C166-C165)*D166/G166,F165)</f>
        <v>1080.5714285714287</v>
      </c>
      <c r="G166">
        <f t="shared" si="27"/>
        <v>7</v>
      </c>
      <c r="H166" s="4">
        <f t="shared" si="24"/>
        <v>15334.000000000002</v>
      </c>
      <c r="I166" s="4">
        <f t="shared" si="23"/>
        <v>9224.3902439024387</v>
      </c>
      <c r="J166" s="4">
        <f t="shared" si="31"/>
        <v>1110.0000000000002</v>
      </c>
      <c r="K166" s="20">
        <f t="shared" si="32"/>
        <v>1.0272342675832893</v>
      </c>
      <c r="L166" s="5" t="str">
        <f>IFERROR(HLOOKUP(M166,$3:$4,2,0),"")</f>
        <v/>
      </c>
      <c r="M166" s="5" t="str">
        <f>IFERROR(HLOOKUP(D166,$8:$9,2,0),"")</f>
        <v/>
      </c>
      <c r="N166" t="str">
        <f>IFERROR(HLOOKUP(M166,$9:$11,3,0),"")</f>
        <v/>
      </c>
      <c r="O166" s="1" t="str">
        <f t="shared" si="28"/>
        <v/>
      </c>
      <c r="P166">
        <f t="shared" si="29"/>
        <v>0.6</v>
      </c>
    </row>
    <row r="167" spans="1:16" x14ac:dyDescent="0.25">
      <c r="A167" t="s">
        <v>7</v>
      </c>
      <c r="B167" s="15">
        <f t="shared" si="30"/>
        <v>0.1</v>
      </c>
      <c r="C167" s="6">
        <f>IF(M167&lt;&gt;"",B167*O167+C166,C166)</f>
        <v>0.82000000000000006</v>
      </c>
      <c r="D167" s="2">
        <f t="shared" si="25"/>
        <v>18800</v>
      </c>
      <c r="E167" s="2">
        <f t="shared" si="26"/>
        <v>8800</v>
      </c>
      <c r="F167" s="4">
        <f>IF(M167&lt;&gt;"",F166+(C167-C166)*D167/G167,F166)</f>
        <v>1080.5714285714287</v>
      </c>
      <c r="G167">
        <f t="shared" si="27"/>
        <v>7</v>
      </c>
      <c r="H167" s="4">
        <f t="shared" si="24"/>
        <v>15416.000000000002</v>
      </c>
      <c r="I167" s="4">
        <f t="shared" si="23"/>
        <v>9224.3902439024387</v>
      </c>
      <c r="J167" s="4">
        <f t="shared" si="31"/>
        <v>1121.7142857142858</v>
      </c>
      <c r="K167" s="20">
        <f t="shared" si="32"/>
        <v>1.0380750925436277</v>
      </c>
      <c r="L167" s="5" t="str">
        <f>IFERROR(HLOOKUP(M167,$3:$4,2,0),"")</f>
        <v/>
      </c>
      <c r="M167" s="5" t="str">
        <f>IFERROR(HLOOKUP(D167,$8:$9,2,0),"")</f>
        <v/>
      </c>
      <c r="N167" t="str">
        <f>IFERROR(HLOOKUP(M167,$9:$11,3,0),"")</f>
        <v/>
      </c>
      <c r="O167" s="1" t="str">
        <f t="shared" si="28"/>
        <v/>
      </c>
      <c r="P167">
        <f t="shared" si="29"/>
        <v>0.6</v>
      </c>
    </row>
    <row r="168" spans="1:16" x14ac:dyDescent="0.25">
      <c r="A168" t="s">
        <v>7</v>
      </c>
      <c r="B168" s="15">
        <f t="shared" si="30"/>
        <v>0.1</v>
      </c>
      <c r="C168" s="6">
        <f>IF(M168&lt;&gt;"",B168*O168+C167,C167)</f>
        <v>0.82000000000000006</v>
      </c>
      <c r="D168" s="2">
        <f t="shared" si="25"/>
        <v>18900</v>
      </c>
      <c r="E168" s="2">
        <f t="shared" si="26"/>
        <v>8900</v>
      </c>
      <c r="F168" s="4">
        <f>IF(M168&lt;&gt;"",F167+(C168-C167)*D168/G168,F167)</f>
        <v>1080.5714285714287</v>
      </c>
      <c r="G168">
        <f t="shared" si="27"/>
        <v>7</v>
      </c>
      <c r="H168" s="4">
        <f t="shared" si="24"/>
        <v>15498.000000000002</v>
      </c>
      <c r="I168" s="4">
        <f t="shared" si="23"/>
        <v>9224.3902439024387</v>
      </c>
      <c r="J168" s="4">
        <f t="shared" si="31"/>
        <v>1133.4285714285716</v>
      </c>
      <c r="K168" s="20">
        <f t="shared" si="32"/>
        <v>1.0489159175039662</v>
      </c>
      <c r="L168" s="5" t="str">
        <f>IFERROR(HLOOKUP(M168,$3:$4,2,0),"")</f>
        <v/>
      </c>
      <c r="M168" s="5" t="str">
        <f>IFERROR(HLOOKUP(D168,$8:$9,2,0),"")</f>
        <v/>
      </c>
      <c r="N168" t="str">
        <f>IFERROR(HLOOKUP(M168,$9:$11,3,0),"")</f>
        <v/>
      </c>
      <c r="O168" s="1" t="str">
        <f t="shared" si="28"/>
        <v/>
      </c>
      <c r="P168">
        <f t="shared" si="29"/>
        <v>0.6</v>
      </c>
    </row>
    <row r="169" spans="1:16" x14ac:dyDescent="0.25">
      <c r="A169" t="s">
        <v>7</v>
      </c>
      <c r="B169" s="15">
        <f t="shared" si="30"/>
        <v>0.1</v>
      </c>
      <c r="C169" s="6">
        <f>IF(M169&lt;&gt;"",B169*O169+C168,C168)</f>
        <v>0.82000000000000006</v>
      </c>
      <c r="D169" s="2">
        <f t="shared" si="25"/>
        <v>19000</v>
      </c>
      <c r="E169" s="2">
        <f t="shared" si="26"/>
        <v>9000</v>
      </c>
      <c r="F169" s="4">
        <f>IF(M169&lt;&gt;"",F168+(C169-C168)*D169/G169,F168)</f>
        <v>1080.5714285714287</v>
      </c>
      <c r="G169">
        <f t="shared" si="27"/>
        <v>7</v>
      </c>
      <c r="H169" s="4">
        <f t="shared" si="24"/>
        <v>15580.000000000002</v>
      </c>
      <c r="I169" s="4">
        <f t="shared" ref="I169:I203" si="33">(I168*C168+D169*(C169-C168))/C169</f>
        <v>9224.3902439024387</v>
      </c>
      <c r="J169" s="4">
        <f t="shared" si="31"/>
        <v>1145.1428571428573</v>
      </c>
      <c r="K169" s="20">
        <f t="shared" si="32"/>
        <v>1.0597567424643046</v>
      </c>
      <c r="L169" s="5" t="str">
        <f>IFERROR(HLOOKUP(M169,$3:$4,2,0),"")</f>
        <v/>
      </c>
      <c r="M169" s="5" t="str">
        <f>IFERROR(HLOOKUP(D169,$8:$9,2,0),"")</f>
        <v/>
      </c>
      <c r="N169" t="str">
        <f>IFERROR(HLOOKUP(M169,$9:$11,3,0),"")</f>
        <v/>
      </c>
      <c r="O169" s="1" t="str">
        <f t="shared" si="28"/>
        <v/>
      </c>
      <c r="P169">
        <f t="shared" si="29"/>
        <v>0.6</v>
      </c>
    </row>
    <row r="170" spans="1:16" x14ac:dyDescent="0.25">
      <c r="A170" t="s">
        <v>7</v>
      </c>
      <c r="B170" s="15">
        <f t="shared" si="30"/>
        <v>0.1</v>
      </c>
      <c r="C170" s="6">
        <f>IF(M170&lt;&gt;"",B170*O170+C169,C169)</f>
        <v>0.82000000000000006</v>
      </c>
      <c r="D170" s="2">
        <f t="shared" si="25"/>
        <v>19100</v>
      </c>
      <c r="E170" s="2">
        <f t="shared" si="26"/>
        <v>9100</v>
      </c>
      <c r="F170" s="4">
        <f>IF(M170&lt;&gt;"",F169+(C170-C169)*D170/G170,F169)</f>
        <v>1080.5714285714287</v>
      </c>
      <c r="G170">
        <f t="shared" si="27"/>
        <v>7</v>
      </c>
      <c r="H170" s="4">
        <f t="shared" si="24"/>
        <v>15662.000000000002</v>
      </c>
      <c r="I170" s="4">
        <f t="shared" si="33"/>
        <v>9224.3902439024387</v>
      </c>
      <c r="J170" s="4">
        <f t="shared" si="31"/>
        <v>1156.8571428571429</v>
      </c>
      <c r="K170" s="20">
        <f t="shared" si="32"/>
        <v>1.0705975674246431</v>
      </c>
      <c r="L170" s="5" t="str">
        <f>IFERROR(HLOOKUP(M170,$3:$4,2,0),"")</f>
        <v/>
      </c>
      <c r="M170" s="5" t="str">
        <f>IFERROR(HLOOKUP(D170,$8:$9,2,0),"")</f>
        <v/>
      </c>
      <c r="N170" t="str">
        <f>IFERROR(HLOOKUP(M170,$9:$11,3,0),"")</f>
        <v/>
      </c>
      <c r="O170" s="1" t="str">
        <f t="shared" si="28"/>
        <v/>
      </c>
      <c r="P170">
        <f t="shared" si="29"/>
        <v>0.6</v>
      </c>
    </row>
    <row r="171" spans="1:16" x14ac:dyDescent="0.25">
      <c r="A171" t="s">
        <v>7</v>
      </c>
      <c r="B171" s="15">
        <f t="shared" si="30"/>
        <v>0.1</v>
      </c>
      <c r="C171" s="6">
        <f>IF(M171&lt;&gt;"",B171*O171+C170,C170)</f>
        <v>0.82000000000000006</v>
      </c>
      <c r="D171" s="2">
        <f t="shared" si="25"/>
        <v>19200</v>
      </c>
      <c r="E171" s="2">
        <f t="shared" si="26"/>
        <v>9200</v>
      </c>
      <c r="F171" s="4">
        <f>IF(M171&lt;&gt;"",F170+(C171-C170)*D171/G171,F170)</f>
        <v>1080.5714285714287</v>
      </c>
      <c r="G171">
        <f t="shared" si="27"/>
        <v>7</v>
      </c>
      <c r="H171" s="4">
        <f t="shared" si="24"/>
        <v>15744.000000000002</v>
      </c>
      <c r="I171" s="4">
        <f t="shared" si="33"/>
        <v>9224.3902439024387</v>
      </c>
      <c r="J171" s="4">
        <f t="shared" si="31"/>
        <v>1168.5714285714287</v>
      </c>
      <c r="K171" s="20">
        <f t="shared" si="32"/>
        <v>1.0814383923849815</v>
      </c>
      <c r="L171" s="5" t="str">
        <f>IFERROR(HLOOKUP(M171,$3:$4,2,0),"")</f>
        <v/>
      </c>
      <c r="M171" s="5" t="str">
        <f>IFERROR(HLOOKUP(D171,$8:$9,2,0),"")</f>
        <v/>
      </c>
      <c r="N171" t="str">
        <f>IFERROR(HLOOKUP(M171,$9:$11,3,0),"")</f>
        <v/>
      </c>
      <c r="O171" s="1" t="str">
        <f t="shared" si="28"/>
        <v/>
      </c>
      <c r="P171">
        <f t="shared" si="29"/>
        <v>0.6</v>
      </c>
    </row>
    <row r="172" spans="1:16" x14ac:dyDescent="0.25">
      <c r="A172" t="s">
        <v>7</v>
      </c>
      <c r="B172" s="15">
        <f t="shared" si="30"/>
        <v>0.1</v>
      </c>
      <c r="C172" s="6">
        <f>IF(M172&lt;&gt;"",B172*O172+C171,C171)</f>
        <v>0.82000000000000006</v>
      </c>
      <c r="D172" s="2">
        <f t="shared" si="25"/>
        <v>19300</v>
      </c>
      <c r="E172" s="2">
        <f t="shared" si="26"/>
        <v>9300</v>
      </c>
      <c r="F172" s="4">
        <f>IF(M172&lt;&gt;"",F171+(C172-C171)*D172/G172,F171)</f>
        <v>1080.5714285714287</v>
      </c>
      <c r="G172">
        <f t="shared" si="27"/>
        <v>7</v>
      </c>
      <c r="H172" s="4">
        <f t="shared" si="24"/>
        <v>15826.000000000002</v>
      </c>
      <c r="I172" s="4">
        <f t="shared" si="33"/>
        <v>9224.3902439024387</v>
      </c>
      <c r="J172" s="4">
        <f t="shared" si="31"/>
        <v>1180.2857142857144</v>
      </c>
      <c r="K172" s="20">
        <f t="shared" si="32"/>
        <v>1.09227921734532</v>
      </c>
      <c r="L172" s="5" t="str">
        <f>IFERROR(HLOOKUP(M172,$3:$4,2,0),"")</f>
        <v/>
      </c>
      <c r="M172" s="5" t="str">
        <f>IFERROR(HLOOKUP(D172,$8:$9,2,0),"")</f>
        <v/>
      </c>
      <c r="N172" t="str">
        <f>IFERROR(HLOOKUP(M172,$9:$11,3,0),"")</f>
        <v/>
      </c>
      <c r="O172" s="1" t="str">
        <f t="shared" si="28"/>
        <v/>
      </c>
      <c r="P172">
        <f t="shared" si="29"/>
        <v>0.6</v>
      </c>
    </row>
    <row r="173" spans="1:16" x14ac:dyDescent="0.25">
      <c r="A173" t="s">
        <v>7</v>
      </c>
      <c r="B173" s="15">
        <f t="shared" si="30"/>
        <v>0.1</v>
      </c>
      <c r="C173" s="6">
        <f>IF(M173&lt;&gt;"",B173*O173+C172,C172)</f>
        <v>0.82000000000000006</v>
      </c>
      <c r="D173" s="2">
        <f t="shared" si="25"/>
        <v>19400</v>
      </c>
      <c r="E173" s="2">
        <f t="shared" si="26"/>
        <v>9400</v>
      </c>
      <c r="F173" s="4">
        <f>IF(M173&lt;&gt;"",F172+(C173-C172)*D173/G173,F172)</f>
        <v>1080.5714285714287</v>
      </c>
      <c r="G173">
        <f t="shared" si="27"/>
        <v>7</v>
      </c>
      <c r="H173" s="4">
        <f t="shared" si="24"/>
        <v>15908.000000000002</v>
      </c>
      <c r="I173" s="4">
        <f t="shared" si="33"/>
        <v>9224.3902439024387</v>
      </c>
      <c r="J173" s="4">
        <f t="shared" si="31"/>
        <v>1192.0000000000002</v>
      </c>
      <c r="K173" s="20">
        <f t="shared" si="32"/>
        <v>1.1031200423056584</v>
      </c>
      <c r="L173" s="5" t="str">
        <f>IFERROR(HLOOKUP(M173,$3:$4,2,0),"")</f>
        <v/>
      </c>
      <c r="M173" s="5" t="str">
        <f>IFERROR(HLOOKUP(D173,$8:$9,2,0),"")</f>
        <v/>
      </c>
      <c r="N173" t="str">
        <f>IFERROR(HLOOKUP(M173,$9:$11,3,0),"")</f>
        <v/>
      </c>
      <c r="O173" s="1" t="str">
        <f t="shared" si="28"/>
        <v/>
      </c>
      <c r="P173">
        <f t="shared" si="29"/>
        <v>0.6</v>
      </c>
    </row>
    <row r="174" spans="1:16" x14ac:dyDescent="0.25">
      <c r="A174" t="s">
        <v>7</v>
      </c>
      <c r="B174" s="15">
        <f t="shared" si="30"/>
        <v>0.1</v>
      </c>
      <c r="C174" s="6">
        <f>IF(M174&lt;&gt;"",B174*O174+C173,C173)</f>
        <v>0.82000000000000006</v>
      </c>
      <c r="D174" s="2">
        <f t="shared" si="25"/>
        <v>19500</v>
      </c>
      <c r="E174" s="2">
        <f t="shared" si="26"/>
        <v>9500</v>
      </c>
      <c r="F174" s="4">
        <f>IF(M174&lt;&gt;"",F173+(C174-C173)*D174/G174,F173)</f>
        <v>1080.5714285714287</v>
      </c>
      <c r="G174">
        <f t="shared" si="27"/>
        <v>7</v>
      </c>
      <c r="H174" s="4">
        <f t="shared" si="24"/>
        <v>15990.000000000002</v>
      </c>
      <c r="I174" s="4">
        <f t="shared" si="33"/>
        <v>9224.3902439024387</v>
      </c>
      <c r="J174" s="4">
        <f t="shared" si="31"/>
        <v>1203.714285714286</v>
      </c>
      <c r="K174" s="20">
        <f t="shared" si="32"/>
        <v>1.1139608672659971</v>
      </c>
      <c r="L174" s="5" t="str">
        <f>IFERROR(HLOOKUP(M174,$3:$4,2,0),"")</f>
        <v/>
      </c>
      <c r="M174" s="5" t="str">
        <f>IFERROR(HLOOKUP(D174,$8:$9,2,0),"")</f>
        <v/>
      </c>
      <c r="N174" t="str">
        <f>IFERROR(HLOOKUP(M174,$9:$11,3,0),"")</f>
        <v/>
      </c>
      <c r="O174" s="1" t="str">
        <f t="shared" si="28"/>
        <v/>
      </c>
      <c r="P174">
        <f t="shared" si="29"/>
        <v>0.6</v>
      </c>
    </row>
    <row r="175" spans="1:16" x14ac:dyDescent="0.25">
      <c r="A175" t="s">
        <v>7</v>
      </c>
      <c r="B175" s="15">
        <f t="shared" si="30"/>
        <v>0.1</v>
      </c>
      <c r="C175" s="6">
        <f>IF(M175&lt;&gt;"",B175*O175+C174,C174)</f>
        <v>0.82000000000000006</v>
      </c>
      <c r="D175" s="2">
        <f t="shared" si="25"/>
        <v>19600</v>
      </c>
      <c r="E175" s="2">
        <f t="shared" si="26"/>
        <v>9600</v>
      </c>
      <c r="F175" s="4">
        <f>IF(M175&lt;&gt;"",F174+(C175-C174)*D175/G175,F174)</f>
        <v>1080.5714285714287</v>
      </c>
      <c r="G175">
        <f t="shared" si="27"/>
        <v>7</v>
      </c>
      <c r="H175" s="4">
        <f t="shared" si="24"/>
        <v>16072.000000000002</v>
      </c>
      <c r="I175" s="4">
        <f t="shared" si="33"/>
        <v>9224.3902439024387</v>
      </c>
      <c r="J175" s="4">
        <f t="shared" si="31"/>
        <v>1215.4285714285718</v>
      </c>
      <c r="K175" s="20">
        <f t="shared" si="32"/>
        <v>1.1248016922263355</v>
      </c>
      <c r="L175" s="5" t="str">
        <f>IFERROR(HLOOKUP(M175,$3:$4,2,0),"")</f>
        <v/>
      </c>
      <c r="M175" s="5" t="str">
        <f>IFERROR(HLOOKUP(D175,$8:$9,2,0),"")</f>
        <v/>
      </c>
      <c r="N175" t="str">
        <f>IFERROR(HLOOKUP(M175,$9:$11,3,0),"")</f>
        <v/>
      </c>
      <c r="O175" s="1" t="str">
        <f t="shared" si="28"/>
        <v/>
      </c>
      <c r="P175">
        <f t="shared" si="29"/>
        <v>0.6</v>
      </c>
    </row>
    <row r="176" spans="1:16" x14ac:dyDescent="0.25">
      <c r="A176" t="s">
        <v>7</v>
      </c>
      <c r="B176" s="15">
        <f t="shared" si="30"/>
        <v>0.1</v>
      </c>
      <c r="C176" s="6">
        <f>IF(M176&lt;&gt;"",B176*O176+C175,C175)</f>
        <v>0.82000000000000006</v>
      </c>
      <c r="D176" s="2">
        <f t="shared" si="25"/>
        <v>19700</v>
      </c>
      <c r="E176" s="2">
        <f t="shared" si="26"/>
        <v>9700</v>
      </c>
      <c r="F176" s="4">
        <f>IF(M176&lt;&gt;"",F175+(C176-C175)*D176/G176,F175)</f>
        <v>1080.5714285714287</v>
      </c>
      <c r="G176">
        <f t="shared" si="27"/>
        <v>7</v>
      </c>
      <c r="H176" s="4">
        <f t="shared" si="24"/>
        <v>16154.000000000002</v>
      </c>
      <c r="I176" s="4">
        <f t="shared" si="33"/>
        <v>9224.3902439024387</v>
      </c>
      <c r="J176" s="4">
        <f t="shared" si="31"/>
        <v>1227.1428571428573</v>
      </c>
      <c r="K176" s="20">
        <f t="shared" si="32"/>
        <v>1.1356425171866738</v>
      </c>
      <c r="L176" s="5" t="str">
        <f>IFERROR(HLOOKUP(M176,$3:$4,2,0),"")</f>
        <v/>
      </c>
      <c r="M176" s="5" t="str">
        <f>IFERROR(HLOOKUP(D176,$8:$9,2,0),"")</f>
        <v/>
      </c>
      <c r="N176" t="str">
        <f>IFERROR(HLOOKUP(M176,$9:$11,3,0),"")</f>
        <v/>
      </c>
      <c r="O176" s="1" t="str">
        <f t="shared" si="28"/>
        <v/>
      </c>
      <c r="P176">
        <f t="shared" si="29"/>
        <v>0.6</v>
      </c>
    </row>
    <row r="177" spans="1:16" x14ac:dyDescent="0.25">
      <c r="A177" t="s">
        <v>7</v>
      </c>
      <c r="B177" s="15">
        <f t="shared" si="30"/>
        <v>0.1</v>
      </c>
      <c r="C177" s="6">
        <f>IF(M177&lt;&gt;"",B177*O177+C176,C176)</f>
        <v>0.82000000000000006</v>
      </c>
      <c r="D177" s="2">
        <f t="shared" si="25"/>
        <v>19800</v>
      </c>
      <c r="E177" s="2">
        <f t="shared" si="26"/>
        <v>9800</v>
      </c>
      <c r="F177" s="4">
        <f>IF(M177&lt;&gt;"",F176+(C177-C176)*D177/G177,F176)</f>
        <v>1080.5714285714287</v>
      </c>
      <c r="G177">
        <f t="shared" si="27"/>
        <v>7</v>
      </c>
      <c r="H177" s="4">
        <f t="shared" si="24"/>
        <v>16236.000000000002</v>
      </c>
      <c r="I177" s="4">
        <f t="shared" si="33"/>
        <v>9224.3902439024387</v>
      </c>
      <c r="J177" s="4">
        <f t="shared" si="31"/>
        <v>1238.8571428571431</v>
      </c>
      <c r="K177" s="20">
        <f t="shared" si="32"/>
        <v>1.1464833421470122</v>
      </c>
      <c r="L177" s="5" t="str">
        <f>IFERROR(HLOOKUP(M177,$3:$4,2,0),"")</f>
        <v/>
      </c>
      <c r="M177" s="5" t="str">
        <f>IFERROR(HLOOKUP(D177,$8:$9,2,0),"")</f>
        <v/>
      </c>
      <c r="N177" t="str">
        <f>IFERROR(HLOOKUP(M177,$9:$11,3,0),"")</f>
        <v/>
      </c>
      <c r="O177" s="1" t="str">
        <f t="shared" si="28"/>
        <v/>
      </c>
      <c r="P177">
        <f t="shared" si="29"/>
        <v>0.6</v>
      </c>
    </row>
    <row r="178" spans="1:16" x14ac:dyDescent="0.25">
      <c r="A178" t="s">
        <v>7</v>
      </c>
      <c r="B178" s="15">
        <f t="shared" si="30"/>
        <v>0.1</v>
      </c>
      <c r="C178" s="6">
        <f>IF(M178&lt;&gt;"",B178*O178+C177,C177)</f>
        <v>0.82000000000000006</v>
      </c>
      <c r="D178" s="2">
        <f t="shared" si="25"/>
        <v>19900</v>
      </c>
      <c r="E178" s="2">
        <f t="shared" si="26"/>
        <v>9900</v>
      </c>
      <c r="F178" s="4">
        <f>IF(M178&lt;&gt;"",F177+(C178-C177)*D178/G178,F177)</f>
        <v>1080.5714285714287</v>
      </c>
      <c r="G178">
        <f t="shared" si="27"/>
        <v>7</v>
      </c>
      <c r="H178" s="4">
        <f t="shared" si="24"/>
        <v>16318.000000000002</v>
      </c>
      <c r="I178" s="4">
        <f t="shared" si="33"/>
        <v>9224.3902439024387</v>
      </c>
      <c r="J178" s="4">
        <f t="shared" si="31"/>
        <v>1250.5714285714289</v>
      </c>
      <c r="K178" s="20">
        <f t="shared" si="32"/>
        <v>1.1573241671073509</v>
      </c>
      <c r="L178" s="5" t="str">
        <f>IFERROR(HLOOKUP(M178,$3:$4,2,0),"")</f>
        <v/>
      </c>
      <c r="M178" s="5" t="str">
        <f>IFERROR(HLOOKUP(D178,$8:$9,2,0),"")</f>
        <v/>
      </c>
      <c r="N178" t="str">
        <f>IFERROR(HLOOKUP(M178,$9:$11,3,0),"")</f>
        <v/>
      </c>
      <c r="O178" s="1" t="str">
        <f t="shared" si="28"/>
        <v/>
      </c>
      <c r="P178">
        <f t="shared" si="29"/>
        <v>0.6</v>
      </c>
    </row>
    <row r="179" spans="1:16" x14ac:dyDescent="0.25">
      <c r="A179" t="s">
        <v>7</v>
      </c>
      <c r="B179" s="15">
        <f t="shared" si="30"/>
        <v>0.1</v>
      </c>
      <c r="C179" s="6">
        <f>IF(M179&lt;&gt;"",B179*O179+C178,C178)</f>
        <v>0.82000000000000006</v>
      </c>
      <c r="D179" s="2">
        <f t="shared" si="25"/>
        <v>20000</v>
      </c>
      <c r="E179" s="2">
        <f t="shared" si="26"/>
        <v>10000</v>
      </c>
      <c r="F179" s="4">
        <f>IF(M179&lt;&gt;"",F178+(C179-C178)*D179/G179,F178)</f>
        <v>1080.5714285714287</v>
      </c>
      <c r="G179">
        <f t="shared" si="27"/>
        <v>7</v>
      </c>
      <c r="H179" s="4">
        <f t="shared" si="24"/>
        <v>16400</v>
      </c>
      <c r="I179" s="4">
        <f t="shared" si="33"/>
        <v>9224.3902439024387</v>
      </c>
      <c r="J179" s="4">
        <f t="shared" si="31"/>
        <v>1262.2857142857144</v>
      </c>
      <c r="K179" s="20">
        <f t="shared" si="32"/>
        <v>1.1681649920676891</v>
      </c>
      <c r="L179" s="5" t="str">
        <f>IFERROR(HLOOKUP(M179,$3:$4,2,0),"")</f>
        <v/>
      </c>
      <c r="M179" s="5" t="str">
        <f>IFERROR(HLOOKUP(D179,$8:$9,2,0),"")</f>
        <v/>
      </c>
      <c r="N179" t="str">
        <f>IFERROR(HLOOKUP(M179,$9:$11,3,0),"")</f>
        <v/>
      </c>
      <c r="O179" s="1" t="str">
        <f t="shared" si="28"/>
        <v/>
      </c>
      <c r="P179">
        <f t="shared" si="29"/>
        <v>0.6</v>
      </c>
    </row>
    <row r="180" spans="1:16" x14ac:dyDescent="0.25">
      <c r="A180" t="s">
        <v>7</v>
      </c>
      <c r="B180" s="15">
        <f t="shared" si="30"/>
        <v>0.1</v>
      </c>
      <c r="C180" s="6">
        <f>IF(M180&lt;&gt;"",B180*O180+C179,C179)</f>
        <v>0.82000000000000006</v>
      </c>
      <c r="D180" s="2">
        <f t="shared" si="25"/>
        <v>20100</v>
      </c>
      <c r="E180" s="2">
        <f t="shared" si="26"/>
        <v>10100</v>
      </c>
      <c r="F180" s="4">
        <f>IF(M180&lt;&gt;"",F179+(C180-C179)*D180/G180,F179)</f>
        <v>1080.5714285714287</v>
      </c>
      <c r="G180">
        <f t="shared" si="27"/>
        <v>7</v>
      </c>
      <c r="H180" s="4">
        <f t="shared" si="24"/>
        <v>16482</v>
      </c>
      <c r="I180" s="4">
        <f t="shared" si="33"/>
        <v>9224.3902439024387</v>
      </c>
      <c r="J180" s="4">
        <f t="shared" si="31"/>
        <v>1274.0000000000002</v>
      </c>
      <c r="K180" s="20">
        <f t="shared" si="32"/>
        <v>1.1790058170280275</v>
      </c>
      <c r="L180" s="5" t="str">
        <f>IFERROR(HLOOKUP(M180,$3:$4,2,0),"")</f>
        <v/>
      </c>
      <c r="M180" s="5" t="str">
        <f>IFERROR(HLOOKUP(D180,$8:$9,2,0),"")</f>
        <v/>
      </c>
      <c r="N180" t="str">
        <f>IFERROR(HLOOKUP(M180,$9:$11,3,0),"")</f>
        <v/>
      </c>
      <c r="O180" s="1" t="str">
        <f t="shared" si="28"/>
        <v/>
      </c>
      <c r="P180">
        <f t="shared" si="29"/>
        <v>0.6</v>
      </c>
    </row>
    <row r="181" spans="1:16" x14ac:dyDescent="0.25">
      <c r="A181" t="s">
        <v>7</v>
      </c>
      <c r="B181" s="15">
        <f t="shared" si="30"/>
        <v>0.1</v>
      </c>
      <c r="C181" s="6">
        <f>IF(M181&lt;&gt;"",B181*O181+C180,C180)</f>
        <v>0.82000000000000006</v>
      </c>
      <c r="D181" s="2">
        <f t="shared" si="25"/>
        <v>20200</v>
      </c>
      <c r="E181" s="2">
        <f t="shared" si="26"/>
        <v>10200</v>
      </c>
      <c r="F181" s="4">
        <f>IF(M181&lt;&gt;"",F180+(C181-C180)*D181/G181,F180)</f>
        <v>1080.5714285714287</v>
      </c>
      <c r="G181">
        <f t="shared" si="27"/>
        <v>7</v>
      </c>
      <c r="H181" s="4">
        <f t="shared" si="24"/>
        <v>16564</v>
      </c>
      <c r="I181" s="4">
        <f t="shared" si="33"/>
        <v>9224.3902439024387</v>
      </c>
      <c r="J181" s="4">
        <f t="shared" si="31"/>
        <v>1285.714285714286</v>
      </c>
      <c r="K181" s="20">
        <f t="shared" si="32"/>
        <v>1.1898466419883662</v>
      </c>
      <c r="L181" s="5" t="str">
        <f>IFERROR(HLOOKUP(M181,$3:$4,2,0),"")</f>
        <v/>
      </c>
      <c r="M181" s="5" t="str">
        <f>IFERROR(HLOOKUP(D181,$8:$9,2,0),"")</f>
        <v/>
      </c>
      <c r="N181" t="str">
        <f>IFERROR(HLOOKUP(M181,$9:$11,3,0),"")</f>
        <v/>
      </c>
      <c r="O181" s="1" t="str">
        <f t="shared" si="28"/>
        <v/>
      </c>
      <c r="P181">
        <f t="shared" si="29"/>
        <v>0.6</v>
      </c>
    </row>
    <row r="182" spans="1:16" x14ac:dyDescent="0.25">
      <c r="A182" t="s">
        <v>7</v>
      </c>
      <c r="B182" s="15">
        <f t="shared" si="30"/>
        <v>0.1</v>
      </c>
      <c r="C182" s="6">
        <f>IF(M182&lt;&gt;"",B182*O182+C181,C181)</f>
        <v>0.82000000000000006</v>
      </c>
      <c r="D182" s="2">
        <f t="shared" si="25"/>
        <v>20300</v>
      </c>
      <c r="E182" s="2">
        <f t="shared" si="26"/>
        <v>10300</v>
      </c>
      <c r="F182" s="4">
        <f>IF(M182&lt;&gt;"",F181+(C182-C181)*D182/G182,F181)</f>
        <v>1080.5714285714287</v>
      </c>
      <c r="G182">
        <f t="shared" si="27"/>
        <v>7</v>
      </c>
      <c r="H182" s="4">
        <f t="shared" si="24"/>
        <v>16646</v>
      </c>
      <c r="I182" s="4">
        <f t="shared" si="33"/>
        <v>9224.3902439024387</v>
      </c>
      <c r="J182" s="4">
        <f t="shared" si="31"/>
        <v>1297.4285714285718</v>
      </c>
      <c r="K182" s="20">
        <f t="shared" si="32"/>
        <v>1.2006874669487047</v>
      </c>
      <c r="L182" s="5" t="str">
        <f>IFERROR(HLOOKUP(M182,$3:$4,2,0),"")</f>
        <v/>
      </c>
      <c r="M182" s="5" t="str">
        <f>IFERROR(HLOOKUP(D182,$8:$9,2,0),"")</f>
        <v/>
      </c>
      <c r="N182" t="str">
        <f>IFERROR(HLOOKUP(M182,$9:$11,3,0),"")</f>
        <v/>
      </c>
      <c r="O182" s="1" t="str">
        <f t="shared" si="28"/>
        <v/>
      </c>
      <c r="P182">
        <f t="shared" si="29"/>
        <v>0.6</v>
      </c>
    </row>
    <row r="183" spans="1:16" x14ac:dyDescent="0.25">
      <c r="A183" t="s">
        <v>7</v>
      </c>
      <c r="B183" s="15">
        <f t="shared" si="30"/>
        <v>0.1</v>
      </c>
      <c r="C183" s="6">
        <f>IF(M183&lt;&gt;"",B183*O183+C182,C182)</f>
        <v>0.82000000000000006</v>
      </c>
      <c r="D183" s="2">
        <f t="shared" si="25"/>
        <v>20400</v>
      </c>
      <c r="E183" s="2">
        <f t="shared" si="26"/>
        <v>10400</v>
      </c>
      <c r="F183" s="4">
        <f>IF(M183&lt;&gt;"",F182+(C183-C182)*D183/G183,F182)</f>
        <v>1080.5714285714287</v>
      </c>
      <c r="G183">
        <f t="shared" si="27"/>
        <v>7</v>
      </c>
      <c r="H183" s="4">
        <f t="shared" si="24"/>
        <v>16728</v>
      </c>
      <c r="I183" s="4">
        <f t="shared" si="33"/>
        <v>9224.3902439024387</v>
      </c>
      <c r="J183" s="4">
        <f t="shared" si="31"/>
        <v>1309.1428571428573</v>
      </c>
      <c r="K183" s="20">
        <f t="shared" si="32"/>
        <v>1.2115282919090429</v>
      </c>
      <c r="L183" s="5" t="str">
        <f>IFERROR(HLOOKUP(M183,$3:$4,2,0),"")</f>
        <v/>
      </c>
      <c r="M183" s="5" t="str">
        <f>IFERROR(HLOOKUP(D183,$8:$9,2,0),"")</f>
        <v/>
      </c>
      <c r="N183" t="str">
        <f>IFERROR(HLOOKUP(M183,$9:$11,3,0),"")</f>
        <v/>
      </c>
      <c r="O183" s="1" t="str">
        <f t="shared" si="28"/>
        <v/>
      </c>
      <c r="P183">
        <f t="shared" si="29"/>
        <v>0.6</v>
      </c>
    </row>
    <row r="184" spans="1:16" x14ac:dyDescent="0.25">
      <c r="A184" t="s">
        <v>7</v>
      </c>
      <c r="B184" s="15">
        <f t="shared" si="30"/>
        <v>0.1</v>
      </c>
      <c r="C184" s="6">
        <f>IF(M184&lt;&gt;"",B184*O184+C183,C183)</f>
        <v>0.82000000000000006</v>
      </c>
      <c r="D184" s="2">
        <f t="shared" si="25"/>
        <v>20500</v>
      </c>
      <c r="E184" s="2">
        <f t="shared" si="26"/>
        <v>10500</v>
      </c>
      <c r="F184" s="4">
        <f>IF(M184&lt;&gt;"",F183+(C184-C183)*D184/G184,F183)</f>
        <v>1080.5714285714287</v>
      </c>
      <c r="G184">
        <f t="shared" si="27"/>
        <v>7</v>
      </c>
      <c r="H184" s="4">
        <f t="shared" si="24"/>
        <v>16810</v>
      </c>
      <c r="I184" s="4">
        <f t="shared" si="33"/>
        <v>9224.3902439024387</v>
      </c>
      <c r="J184" s="4">
        <f t="shared" si="31"/>
        <v>1320.8571428571431</v>
      </c>
      <c r="K184" s="20">
        <f t="shared" si="32"/>
        <v>1.2223691168693813</v>
      </c>
      <c r="L184" s="5" t="str">
        <f>IFERROR(HLOOKUP(M184,$3:$4,2,0),"")</f>
        <v/>
      </c>
      <c r="M184" s="5" t="str">
        <f>IFERROR(HLOOKUP(D184,$8:$9,2,0),"")</f>
        <v/>
      </c>
      <c r="N184" t="str">
        <f>IFERROR(HLOOKUP(M184,$9:$11,3,0),"")</f>
        <v/>
      </c>
      <c r="O184" s="1" t="str">
        <f t="shared" si="28"/>
        <v/>
      </c>
      <c r="P184">
        <f t="shared" si="29"/>
        <v>0.6</v>
      </c>
    </row>
    <row r="185" spans="1:16" x14ac:dyDescent="0.25">
      <c r="A185" t="s">
        <v>7</v>
      </c>
      <c r="B185" s="15">
        <f t="shared" si="30"/>
        <v>0.1</v>
      </c>
      <c r="C185" s="6">
        <f>IF(M185&lt;&gt;"",B185*O185+C184,C184)</f>
        <v>0.82000000000000006</v>
      </c>
      <c r="D185" s="2">
        <f t="shared" si="25"/>
        <v>20600</v>
      </c>
      <c r="E185" s="2">
        <f t="shared" si="26"/>
        <v>10600</v>
      </c>
      <c r="F185" s="4">
        <f>IF(M185&lt;&gt;"",F184+(C185-C184)*D185/G185,F184)</f>
        <v>1080.5714285714287</v>
      </c>
      <c r="G185">
        <f t="shared" si="27"/>
        <v>7</v>
      </c>
      <c r="H185" s="4">
        <f t="shared" si="24"/>
        <v>16892</v>
      </c>
      <c r="I185" s="4">
        <f t="shared" si="33"/>
        <v>9224.3902439024387</v>
      </c>
      <c r="J185" s="4">
        <f t="shared" si="31"/>
        <v>1332.5714285714289</v>
      </c>
      <c r="K185" s="20">
        <f t="shared" si="32"/>
        <v>1.23320994182972</v>
      </c>
      <c r="L185" s="5" t="str">
        <f>IFERROR(HLOOKUP(M185,$3:$4,2,0),"")</f>
        <v/>
      </c>
      <c r="M185" s="5" t="str">
        <f>IFERROR(HLOOKUP(D185,$8:$9,2,0),"")</f>
        <v/>
      </c>
      <c r="N185" t="str">
        <f>IFERROR(HLOOKUP(M185,$9:$11,3,0),"")</f>
        <v/>
      </c>
      <c r="O185" s="1" t="str">
        <f t="shared" si="28"/>
        <v/>
      </c>
      <c r="P185">
        <f t="shared" si="29"/>
        <v>0.6</v>
      </c>
    </row>
    <row r="186" spans="1:16" x14ac:dyDescent="0.25">
      <c r="A186" t="s">
        <v>7</v>
      </c>
      <c r="B186" s="15">
        <f t="shared" si="30"/>
        <v>0.1</v>
      </c>
      <c r="C186" s="6">
        <f>IF(M186&lt;&gt;"",B186*O186+C185,C185)</f>
        <v>0.82000000000000006</v>
      </c>
      <c r="D186" s="2">
        <f t="shared" si="25"/>
        <v>20700</v>
      </c>
      <c r="E186" s="2">
        <f t="shared" si="26"/>
        <v>10700</v>
      </c>
      <c r="F186" s="4">
        <f>IF(M186&lt;&gt;"",F185+(C186-C185)*D186/G186,F185)</f>
        <v>1080.5714285714287</v>
      </c>
      <c r="G186">
        <f t="shared" si="27"/>
        <v>7</v>
      </c>
      <c r="H186" s="4">
        <f t="shared" si="24"/>
        <v>16974</v>
      </c>
      <c r="I186" s="4">
        <f t="shared" si="33"/>
        <v>9224.3902439024387</v>
      </c>
      <c r="J186" s="4">
        <f t="shared" si="31"/>
        <v>1344.2857142857144</v>
      </c>
      <c r="K186" s="20">
        <f t="shared" si="32"/>
        <v>1.2440507667900582</v>
      </c>
      <c r="L186" s="5" t="str">
        <f>IFERROR(HLOOKUP(M186,$3:$4,2,0),"")</f>
        <v/>
      </c>
      <c r="M186" s="5" t="str">
        <f>IFERROR(HLOOKUP(D186,$8:$9,2,0),"")</f>
        <v/>
      </c>
      <c r="N186" t="str">
        <f>IFERROR(HLOOKUP(M186,$9:$11,3,0),"")</f>
        <v/>
      </c>
      <c r="O186" s="1" t="str">
        <f t="shared" si="28"/>
        <v/>
      </c>
      <c r="P186">
        <f t="shared" si="29"/>
        <v>0.6</v>
      </c>
    </row>
    <row r="187" spans="1:16" x14ac:dyDescent="0.25">
      <c r="A187" t="s">
        <v>7</v>
      </c>
      <c r="B187" s="15">
        <f t="shared" si="30"/>
        <v>0.1</v>
      </c>
      <c r="C187" s="6">
        <f>IF(M187&lt;&gt;"",B187*O187+C186,C186)</f>
        <v>0.82000000000000006</v>
      </c>
      <c r="D187" s="2">
        <f t="shared" si="25"/>
        <v>20800</v>
      </c>
      <c r="E187" s="2">
        <f t="shared" si="26"/>
        <v>10800</v>
      </c>
      <c r="F187" s="4">
        <f>IF(M187&lt;&gt;"",F186+(C187-C186)*D187/G187,F186)</f>
        <v>1080.5714285714287</v>
      </c>
      <c r="G187">
        <f t="shared" si="27"/>
        <v>7</v>
      </c>
      <c r="H187" s="4">
        <f t="shared" si="24"/>
        <v>17056</v>
      </c>
      <c r="I187" s="4">
        <f t="shared" si="33"/>
        <v>9224.3902439024387</v>
      </c>
      <c r="J187" s="4">
        <f t="shared" si="31"/>
        <v>1356.0000000000002</v>
      </c>
      <c r="K187" s="20">
        <f t="shared" si="32"/>
        <v>1.2548915917503967</v>
      </c>
      <c r="L187" s="5" t="str">
        <f>IFERROR(HLOOKUP(M187,$3:$4,2,0),"")</f>
        <v/>
      </c>
      <c r="M187" s="5" t="str">
        <f>IFERROR(HLOOKUP(D187,$8:$9,2,0),"")</f>
        <v/>
      </c>
      <c r="N187" t="str">
        <f>IFERROR(HLOOKUP(M187,$9:$11,3,0),"")</f>
        <v/>
      </c>
      <c r="O187" s="1" t="str">
        <f t="shared" si="28"/>
        <v/>
      </c>
      <c r="P187">
        <f t="shared" si="29"/>
        <v>0.6</v>
      </c>
    </row>
    <row r="188" spans="1:16" x14ac:dyDescent="0.25">
      <c r="A188" t="s">
        <v>7</v>
      </c>
      <c r="B188" s="15">
        <f t="shared" si="30"/>
        <v>0.1</v>
      </c>
      <c r="C188" s="6">
        <f>IF(M188&lt;&gt;"",B188*O188+C187,C187)</f>
        <v>0.82000000000000006</v>
      </c>
      <c r="D188" s="2">
        <f t="shared" si="25"/>
        <v>20900</v>
      </c>
      <c r="E188" s="2">
        <f t="shared" si="26"/>
        <v>10900</v>
      </c>
      <c r="F188" s="4">
        <f>IF(M188&lt;&gt;"",F187+(C188-C187)*D188/G188,F187)</f>
        <v>1080.5714285714287</v>
      </c>
      <c r="G188">
        <f t="shared" si="27"/>
        <v>7</v>
      </c>
      <c r="H188" s="4">
        <f t="shared" si="24"/>
        <v>17138</v>
      </c>
      <c r="I188" s="4">
        <f t="shared" si="33"/>
        <v>9224.3902439024387</v>
      </c>
      <c r="J188" s="4">
        <f t="shared" si="31"/>
        <v>1367.714285714286</v>
      </c>
      <c r="K188" s="20">
        <f t="shared" si="32"/>
        <v>1.2657324167107351</v>
      </c>
      <c r="L188" s="5" t="str">
        <f>IFERROR(HLOOKUP(M188,$3:$4,2,0),"")</f>
        <v/>
      </c>
      <c r="M188" s="5" t="str">
        <f>IFERROR(HLOOKUP(D188,$8:$9,2,0),"")</f>
        <v/>
      </c>
      <c r="N188" t="str">
        <f>IFERROR(HLOOKUP(M188,$9:$11,3,0),"")</f>
        <v/>
      </c>
      <c r="O188" s="1" t="str">
        <f t="shared" si="28"/>
        <v/>
      </c>
      <c r="P188">
        <f t="shared" si="29"/>
        <v>0.6</v>
      </c>
    </row>
    <row r="189" spans="1:16" x14ac:dyDescent="0.25">
      <c r="A189" t="s">
        <v>7</v>
      </c>
      <c r="B189" s="15">
        <f t="shared" si="30"/>
        <v>0.1</v>
      </c>
      <c r="C189" s="6">
        <f>IF(M189&lt;&gt;"",B189*O189+C188,C188)</f>
        <v>0.82000000000000006</v>
      </c>
      <c r="D189" s="2">
        <f t="shared" si="25"/>
        <v>21000</v>
      </c>
      <c r="E189" s="2">
        <f t="shared" si="26"/>
        <v>11000</v>
      </c>
      <c r="F189" s="4">
        <f>IF(M189&lt;&gt;"",F188+(C189-C188)*D189/G189,F188)</f>
        <v>1080.5714285714287</v>
      </c>
      <c r="G189">
        <f t="shared" si="27"/>
        <v>7</v>
      </c>
      <c r="H189" s="4">
        <f t="shared" si="24"/>
        <v>17220</v>
      </c>
      <c r="I189" s="4">
        <f t="shared" si="33"/>
        <v>9224.3902439024387</v>
      </c>
      <c r="J189" s="4">
        <f t="shared" si="31"/>
        <v>1379.4285714285718</v>
      </c>
      <c r="K189" s="20">
        <f t="shared" si="32"/>
        <v>1.2765732416710738</v>
      </c>
      <c r="L189" s="5" t="str">
        <f>IFERROR(HLOOKUP(M189,$3:$4,2,0),"")</f>
        <v/>
      </c>
      <c r="M189" s="5" t="str">
        <f>IFERROR(HLOOKUP(D189,$8:$9,2,0),"")</f>
        <v/>
      </c>
      <c r="N189" t="str">
        <f>IFERROR(HLOOKUP(M189,$9:$11,3,0),"")</f>
        <v/>
      </c>
      <c r="O189" s="1" t="str">
        <f t="shared" si="28"/>
        <v/>
      </c>
      <c r="P189">
        <f t="shared" si="29"/>
        <v>0.6</v>
      </c>
    </row>
    <row r="190" spans="1:16" x14ac:dyDescent="0.25">
      <c r="A190" t="s">
        <v>7</v>
      </c>
      <c r="B190" s="15">
        <f t="shared" si="30"/>
        <v>0.1</v>
      </c>
      <c r="C190" s="6">
        <f>IF(M190&lt;&gt;"",B190*O190+C189,C189)</f>
        <v>0.82000000000000006</v>
      </c>
      <c r="D190" s="2">
        <f t="shared" si="25"/>
        <v>21100</v>
      </c>
      <c r="E190" s="2">
        <f t="shared" si="26"/>
        <v>11100</v>
      </c>
      <c r="F190" s="4">
        <f>IF(M190&lt;&gt;"",F189+(C190-C189)*D190/G190,F189)</f>
        <v>1080.5714285714287</v>
      </c>
      <c r="G190">
        <f t="shared" si="27"/>
        <v>7</v>
      </c>
      <c r="H190" s="4">
        <f t="shared" si="24"/>
        <v>17302</v>
      </c>
      <c r="I190" s="4">
        <f t="shared" si="33"/>
        <v>9224.3902439024387</v>
      </c>
      <c r="J190" s="4">
        <f t="shared" si="31"/>
        <v>1391.1428571428573</v>
      </c>
      <c r="K190" s="20">
        <f t="shared" si="32"/>
        <v>1.287414066631412</v>
      </c>
      <c r="L190" s="5" t="str">
        <f>IFERROR(HLOOKUP(M190,$3:$4,2,0),"")</f>
        <v/>
      </c>
      <c r="M190" s="5" t="str">
        <f>IFERROR(HLOOKUP(D190,$8:$9,2,0),"")</f>
        <v/>
      </c>
      <c r="N190" t="str">
        <f>IFERROR(HLOOKUP(M190,$9:$11,3,0),"")</f>
        <v/>
      </c>
      <c r="O190" s="1" t="str">
        <f t="shared" si="28"/>
        <v/>
      </c>
      <c r="P190">
        <f t="shared" si="29"/>
        <v>0.6</v>
      </c>
    </row>
    <row r="191" spans="1:16" x14ac:dyDescent="0.25">
      <c r="A191" t="s">
        <v>7</v>
      </c>
      <c r="B191" s="15">
        <f t="shared" si="30"/>
        <v>0.1</v>
      </c>
      <c r="C191" s="6">
        <f>IF(M191&lt;&gt;"",B191*O191+C190,C190)</f>
        <v>0.82000000000000006</v>
      </c>
      <c r="D191" s="2">
        <f t="shared" si="25"/>
        <v>21200</v>
      </c>
      <c r="E191" s="2">
        <f t="shared" si="26"/>
        <v>11200</v>
      </c>
      <c r="F191" s="4">
        <f>IF(M191&lt;&gt;"",F190+(C191-C190)*D191/G191,F190)</f>
        <v>1080.5714285714287</v>
      </c>
      <c r="G191">
        <f t="shared" si="27"/>
        <v>7</v>
      </c>
      <c r="H191" s="4">
        <f t="shared" si="24"/>
        <v>17384</v>
      </c>
      <c r="I191" s="4">
        <f t="shared" si="33"/>
        <v>9224.3902439024387</v>
      </c>
      <c r="J191" s="4">
        <f t="shared" si="31"/>
        <v>1402.8571428571431</v>
      </c>
      <c r="K191" s="20">
        <f t="shared" si="32"/>
        <v>1.2982548915917504</v>
      </c>
      <c r="L191" s="5" t="str">
        <f>IFERROR(HLOOKUP(M191,$3:$4,2,0),"")</f>
        <v/>
      </c>
      <c r="M191" s="5" t="str">
        <f>IFERROR(HLOOKUP(D191,$8:$9,2,0),"")</f>
        <v/>
      </c>
      <c r="N191" t="str">
        <f>IFERROR(HLOOKUP(M191,$9:$11,3,0),"")</f>
        <v/>
      </c>
      <c r="O191" s="1" t="str">
        <f t="shared" si="28"/>
        <v/>
      </c>
      <c r="P191">
        <f t="shared" si="29"/>
        <v>0.6</v>
      </c>
    </row>
    <row r="192" spans="1:16" x14ac:dyDescent="0.25">
      <c r="A192" t="s">
        <v>7</v>
      </c>
      <c r="B192" s="15">
        <f t="shared" si="30"/>
        <v>0.1</v>
      </c>
      <c r="C192" s="6">
        <f>IF(M192&lt;&gt;"",B192*O192+C191,C191)</f>
        <v>0.82000000000000006</v>
      </c>
      <c r="D192" s="2">
        <f t="shared" si="25"/>
        <v>21300</v>
      </c>
      <c r="E192" s="2">
        <f t="shared" si="26"/>
        <v>11300</v>
      </c>
      <c r="F192" s="4">
        <f>IF(M192&lt;&gt;"",F191+(C192-C191)*D192/G192,F191)</f>
        <v>1080.5714285714287</v>
      </c>
      <c r="G192">
        <f t="shared" si="27"/>
        <v>7</v>
      </c>
      <c r="H192" s="4">
        <f t="shared" si="24"/>
        <v>17466</v>
      </c>
      <c r="I192" s="4">
        <f t="shared" si="33"/>
        <v>9224.3902439024387</v>
      </c>
      <c r="J192" s="4">
        <f t="shared" si="31"/>
        <v>1414.5714285714289</v>
      </c>
      <c r="K192" s="20">
        <f t="shared" si="32"/>
        <v>1.3090957165520891</v>
      </c>
      <c r="L192" s="5" t="str">
        <f>IFERROR(HLOOKUP(M192,$3:$4,2,0),"")</f>
        <v/>
      </c>
      <c r="M192" s="5" t="str">
        <f>IFERROR(HLOOKUP(D192,$8:$9,2,0),"")</f>
        <v/>
      </c>
      <c r="N192" t="str">
        <f>IFERROR(HLOOKUP(M192,$9:$11,3,0),"")</f>
        <v/>
      </c>
      <c r="O192" s="1" t="str">
        <f t="shared" si="28"/>
        <v/>
      </c>
      <c r="P192">
        <f t="shared" si="29"/>
        <v>0.6</v>
      </c>
    </row>
    <row r="193" spans="1:16" x14ac:dyDescent="0.25">
      <c r="A193" t="s">
        <v>7</v>
      </c>
      <c r="B193" s="15">
        <f t="shared" si="30"/>
        <v>0.1</v>
      </c>
      <c r="C193" s="6">
        <f>IF(M193&lt;&gt;"",B193*O193+C192,C192)</f>
        <v>0.82000000000000006</v>
      </c>
      <c r="D193" s="2">
        <f t="shared" si="25"/>
        <v>21400</v>
      </c>
      <c r="E193" s="2">
        <f t="shared" si="26"/>
        <v>11400</v>
      </c>
      <c r="F193" s="4">
        <f>IF(M193&lt;&gt;"",F192+(C193-C192)*D193/G193,F192)</f>
        <v>1080.5714285714287</v>
      </c>
      <c r="G193">
        <f t="shared" si="27"/>
        <v>7</v>
      </c>
      <c r="H193" s="4">
        <f t="shared" si="24"/>
        <v>17548</v>
      </c>
      <c r="I193" s="4">
        <f t="shared" si="33"/>
        <v>9224.3902439024387</v>
      </c>
      <c r="J193" s="4">
        <f t="shared" si="31"/>
        <v>1426.2857142857144</v>
      </c>
      <c r="K193" s="20">
        <f t="shared" si="32"/>
        <v>1.3199365415124273</v>
      </c>
      <c r="L193" s="5" t="str">
        <f>IFERROR(HLOOKUP(M193,$3:$4,2,0),"")</f>
        <v/>
      </c>
      <c r="M193" s="5" t="str">
        <f>IFERROR(HLOOKUP(D193,$8:$9,2,0),"")</f>
        <v/>
      </c>
      <c r="N193" t="str">
        <f>IFERROR(HLOOKUP(M193,$9:$11,3,0),"")</f>
        <v/>
      </c>
      <c r="O193" s="1" t="str">
        <f t="shared" si="28"/>
        <v/>
      </c>
      <c r="P193">
        <f t="shared" si="29"/>
        <v>0.6</v>
      </c>
    </row>
    <row r="194" spans="1:16" x14ac:dyDescent="0.25">
      <c r="A194" t="s">
        <v>7</v>
      </c>
      <c r="B194" s="15">
        <f t="shared" si="30"/>
        <v>0.1</v>
      </c>
      <c r="C194" s="6">
        <f>IF(M194&lt;&gt;"",B194*O194+C193,C193)</f>
        <v>0.82000000000000006</v>
      </c>
      <c r="D194" s="2">
        <f t="shared" si="25"/>
        <v>21500</v>
      </c>
      <c r="E194" s="2">
        <f t="shared" si="26"/>
        <v>11500</v>
      </c>
      <c r="F194" s="4">
        <f>IF(M194&lt;&gt;"",F193+(C194-C193)*D194/G194,F193)</f>
        <v>1080.5714285714287</v>
      </c>
      <c r="G194">
        <f t="shared" si="27"/>
        <v>7</v>
      </c>
      <c r="H194" s="4">
        <f t="shared" si="24"/>
        <v>17630</v>
      </c>
      <c r="I194" s="4">
        <f t="shared" si="33"/>
        <v>9224.3902439024387</v>
      </c>
      <c r="J194" s="4">
        <f t="shared" si="31"/>
        <v>1438.0000000000002</v>
      </c>
      <c r="K194" s="20">
        <f t="shared" si="32"/>
        <v>1.3307773664727658</v>
      </c>
      <c r="L194" s="5" t="str">
        <f>IFERROR(HLOOKUP(M194,$3:$4,2,0),"")</f>
        <v/>
      </c>
      <c r="M194" s="5" t="str">
        <f>IFERROR(HLOOKUP(D194,$8:$9,2,0),"")</f>
        <v/>
      </c>
      <c r="N194" t="str">
        <f>IFERROR(HLOOKUP(M194,$9:$11,3,0),"")</f>
        <v/>
      </c>
      <c r="O194" s="1" t="str">
        <f t="shared" si="28"/>
        <v/>
      </c>
      <c r="P194">
        <f t="shared" si="29"/>
        <v>0.6</v>
      </c>
    </row>
    <row r="195" spans="1:16" x14ac:dyDescent="0.25">
      <c r="A195" t="s">
        <v>7</v>
      </c>
      <c r="B195" s="15">
        <f t="shared" si="30"/>
        <v>0.1</v>
      </c>
      <c r="C195" s="6">
        <f>IF(M195&lt;&gt;"",B195*O195+C194,C194)</f>
        <v>0.82000000000000006</v>
      </c>
      <c r="D195" s="2">
        <f t="shared" si="25"/>
        <v>21600</v>
      </c>
      <c r="E195" s="2">
        <f t="shared" si="26"/>
        <v>11600</v>
      </c>
      <c r="F195" s="4">
        <f>IF(M195&lt;&gt;"",F194+(C195-C194)*D195/G195,F194)</f>
        <v>1080.5714285714287</v>
      </c>
      <c r="G195">
        <f t="shared" si="27"/>
        <v>7</v>
      </c>
      <c r="H195" s="4">
        <f t="shared" si="24"/>
        <v>17712</v>
      </c>
      <c r="I195" s="4">
        <f t="shared" si="33"/>
        <v>9224.3902439024387</v>
      </c>
      <c r="J195" s="4">
        <f t="shared" si="31"/>
        <v>1449.714285714286</v>
      </c>
      <c r="K195" s="20">
        <f t="shared" si="32"/>
        <v>1.3416181914331042</v>
      </c>
      <c r="L195" s="5" t="str">
        <f>IFERROR(HLOOKUP(M195,$3:$4,2,0),"")</f>
        <v/>
      </c>
      <c r="M195" s="5" t="str">
        <f>IFERROR(HLOOKUP(D195,$8:$9,2,0),"")</f>
        <v/>
      </c>
      <c r="N195" t="str">
        <f>IFERROR(HLOOKUP(M195,$9:$11,3,0),"")</f>
        <v/>
      </c>
      <c r="O195" s="1" t="str">
        <f t="shared" si="28"/>
        <v/>
      </c>
      <c r="P195">
        <f t="shared" si="29"/>
        <v>0.6</v>
      </c>
    </row>
    <row r="196" spans="1:16" x14ac:dyDescent="0.25">
      <c r="A196" t="s">
        <v>7</v>
      </c>
      <c r="B196" s="15">
        <f t="shared" si="30"/>
        <v>0.1</v>
      </c>
      <c r="C196" s="6">
        <f>IF(M196&lt;&gt;"",B196*O196+C195,C195)</f>
        <v>0.82000000000000006</v>
      </c>
      <c r="D196" s="2">
        <f t="shared" si="25"/>
        <v>21700</v>
      </c>
      <c r="E196" s="2">
        <f t="shared" si="26"/>
        <v>11700</v>
      </c>
      <c r="F196" s="4">
        <f>IF(M196&lt;&gt;"",F195+(C196-C195)*D196/G196,F195)</f>
        <v>1080.5714285714287</v>
      </c>
      <c r="G196">
        <f t="shared" si="27"/>
        <v>7</v>
      </c>
      <c r="H196" s="4">
        <f t="shared" si="24"/>
        <v>17794</v>
      </c>
      <c r="I196" s="4">
        <f t="shared" si="33"/>
        <v>9224.3902439024387</v>
      </c>
      <c r="J196" s="4">
        <f t="shared" si="31"/>
        <v>1461.4285714285718</v>
      </c>
      <c r="K196" s="20">
        <f t="shared" si="32"/>
        <v>1.3524590163934429</v>
      </c>
      <c r="L196" s="5" t="str">
        <f>IFERROR(HLOOKUP(M196,$3:$4,2,0),"")</f>
        <v/>
      </c>
      <c r="M196" s="5" t="str">
        <f>IFERROR(HLOOKUP(D196,$8:$9,2,0),"")</f>
        <v/>
      </c>
      <c r="N196" t="str">
        <f>IFERROR(HLOOKUP(M196,$9:$11,3,0),"")</f>
        <v/>
      </c>
      <c r="O196" s="1" t="str">
        <f t="shared" si="28"/>
        <v/>
      </c>
      <c r="P196">
        <f t="shared" si="29"/>
        <v>0.6</v>
      </c>
    </row>
    <row r="197" spans="1:16" x14ac:dyDescent="0.25">
      <c r="A197" t="s">
        <v>7</v>
      </c>
      <c r="B197" s="15">
        <f t="shared" si="30"/>
        <v>0.1</v>
      </c>
      <c r="C197" s="6">
        <f>IF(M197&lt;&gt;"",B197*O197+C196,C196)</f>
        <v>0.82000000000000006</v>
      </c>
      <c r="D197" s="2">
        <f t="shared" si="25"/>
        <v>21800</v>
      </c>
      <c r="E197" s="2">
        <f t="shared" si="26"/>
        <v>11800</v>
      </c>
      <c r="F197" s="4">
        <f>IF(M197&lt;&gt;"",F196+(C197-C196)*D197/G197,F196)</f>
        <v>1080.5714285714287</v>
      </c>
      <c r="G197">
        <f t="shared" si="27"/>
        <v>7</v>
      </c>
      <c r="H197" s="4">
        <f t="shared" si="24"/>
        <v>17876</v>
      </c>
      <c r="I197" s="4">
        <f t="shared" si="33"/>
        <v>9224.3902439024387</v>
      </c>
      <c r="J197" s="4">
        <f t="shared" si="31"/>
        <v>1473.1428571428573</v>
      </c>
      <c r="K197" s="20">
        <f t="shared" si="32"/>
        <v>1.3632998413537811</v>
      </c>
      <c r="L197" s="5" t="str">
        <f>IFERROR(HLOOKUP(M197,$3:$4,2,0),"")</f>
        <v/>
      </c>
      <c r="M197" s="5" t="str">
        <f>IFERROR(HLOOKUP(D197,$8:$9,2,0),"")</f>
        <v/>
      </c>
      <c r="N197" t="str">
        <f>IFERROR(HLOOKUP(M197,$9:$11,3,0),"")</f>
        <v/>
      </c>
      <c r="O197" s="1" t="str">
        <f t="shared" si="28"/>
        <v/>
      </c>
      <c r="P197">
        <f t="shared" si="29"/>
        <v>0.6</v>
      </c>
    </row>
    <row r="198" spans="1:16" x14ac:dyDescent="0.25">
      <c r="A198" t="s">
        <v>7</v>
      </c>
      <c r="B198" s="15">
        <f t="shared" si="30"/>
        <v>0.1</v>
      </c>
      <c r="C198" s="6">
        <f>IF(M198&lt;&gt;"",B198*O198+C197,C197)</f>
        <v>0.82000000000000006</v>
      </c>
      <c r="D198" s="2">
        <f t="shared" si="25"/>
        <v>21900</v>
      </c>
      <c r="E198" s="2">
        <f t="shared" si="26"/>
        <v>11900</v>
      </c>
      <c r="F198" s="4">
        <f>IF(M198&lt;&gt;"",F197+(C198-C197)*D198/G198,F197)</f>
        <v>1080.5714285714287</v>
      </c>
      <c r="G198">
        <f t="shared" si="27"/>
        <v>7</v>
      </c>
      <c r="H198" s="4">
        <f t="shared" ref="H198:H203" si="34">C198*D198</f>
        <v>17958</v>
      </c>
      <c r="I198" s="4">
        <f t="shared" si="33"/>
        <v>9224.3902439024387</v>
      </c>
      <c r="J198" s="4">
        <f t="shared" si="31"/>
        <v>1484.8571428571431</v>
      </c>
      <c r="K198" s="20">
        <f t="shared" si="32"/>
        <v>1.3741406663141196</v>
      </c>
      <c r="L198" s="5" t="str">
        <f>IFERROR(HLOOKUP(M198,$3:$4,2,0),"")</f>
        <v/>
      </c>
      <c r="M198" s="5" t="str">
        <f>IFERROR(HLOOKUP(D198,$8:$9,2,0),"")</f>
        <v/>
      </c>
      <c r="N198" t="str">
        <f>IFERROR(HLOOKUP(M198,$9:$11,3,0),"")</f>
        <v/>
      </c>
      <c r="O198" s="1" t="str">
        <f t="shared" si="28"/>
        <v/>
      </c>
      <c r="P198">
        <f t="shared" si="29"/>
        <v>0.6</v>
      </c>
    </row>
    <row r="199" spans="1:16" x14ac:dyDescent="0.25">
      <c r="A199" t="s">
        <v>7</v>
      </c>
      <c r="B199" s="15">
        <f t="shared" si="30"/>
        <v>0.1</v>
      </c>
      <c r="C199" s="6">
        <f>IF(M199&lt;&gt;"",B199*O199+C198,C198)</f>
        <v>0.82000000000000006</v>
      </c>
      <c r="D199" s="2">
        <f t="shared" si="25"/>
        <v>22000</v>
      </c>
      <c r="E199" s="2">
        <f t="shared" si="26"/>
        <v>12000</v>
      </c>
      <c r="F199" s="4">
        <f>IF(M199&lt;&gt;"",F198+(C199-C198)*D199/G199,F198)</f>
        <v>1080.5714285714287</v>
      </c>
      <c r="G199">
        <f t="shared" si="27"/>
        <v>7</v>
      </c>
      <c r="H199" s="4">
        <f t="shared" si="34"/>
        <v>18040</v>
      </c>
      <c r="I199" s="4">
        <f t="shared" si="33"/>
        <v>9224.3902439024387</v>
      </c>
      <c r="J199" s="4">
        <f t="shared" si="31"/>
        <v>1496.5714285714289</v>
      </c>
      <c r="K199" s="20">
        <f t="shared" si="32"/>
        <v>1.3849814912744582</v>
      </c>
      <c r="L199" s="5" t="str">
        <f>IFERROR(HLOOKUP(M199,$3:$4,2,0),"")</f>
        <v/>
      </c>
      <c r="M199" s="5" t="str">
        <f>IFERROR(HLOOKUP(D199,$8:$9,2,0),"")</f>
        <v/>
      </c>
      <c r="N199" t="str">
        <f>IFERROR(HLOOKUP(M199,$9:$11,3,0),"")</f>
        <v/>
      </c>
      <c r="O199" s="1" t="str">
        <f t="shared" si="28"/>
        <v/>
      </c>
      <c r="P199">
        <f t="shared" si="29"/>
        <v>0.6</v>
      </c>
    </row>
    <row r="200" spans="1:16" x14ac:dyDescent="0.25">
      <c r="A200" t="s">
        <v>7</v>
      </c>
      <c r="B200" s="15">
        <f t="shared" si="30"/>
        <v>0.1</v>
      </c>
      <c r="C200" s="6">
        <f>IF(M200&lt;&gt;"",B200*O200+C199,C199)</f>
        <v>0.82000000000000006</v>
      </c>
      <c r="D200" s="2">
        <f t="shared" ref="D200:D203" si="35">D199+100</f>
        <v>22100</v>
      </c>
      <c r="E200" s="2">
        <f t="shared" si="26"/>
        <v>12100</v>
      </c>
      <c r="F200" s="4">
        <f>IF(M200&lt;&gt;"",F199+(C200-C199)*D200/G200,F199)</f>
        <v>1080.5714285714287</v>
      </c>
      <c r="G200">
        <f t="shared" si="27"/>
        <v>7</v>
      </c>
      <c r="H200" s="4">
        <f t="shared" si="34"/>
        <v>18122</v>
      </c>
      <c r="I200" s="4">
        <f t="shared" si="33"/>
        <v>9224.3902439024387</v>
      </c>
      <c r="J200" s="4">
        <f t="shared" si="31"/>
        <v>1508.2857142857144</v>
      </c>
      <c r="K200" s="20">
        <f t="shared" si="32"/>
        <v>1.3958223162347965</v>
      </c>
      <c r="L200" s="5" t="str">
        <f>IFERROR(HLOOKUP(M200,$3:$4,2,0),"")</f>
        <v/>
      </c>
      <c r="M200" s="5" t="str">
        <f>IFERROR(HLOOKUP(D200,$8:$9,2,0),"")</f>
        <v/>
      </c>
      <c r="N200" t="str">
        <f>IFERROR(HLOOKUP(M200,$9:$11,3,0),"")</f>
        <v/>
      </c>
      <c r="O200" s="1" t="str">
        <f t="shared" si="28"/>
        <v/>
      </c>
      <c r="P200">
        <f t="shared" si="29"/>
        <v>0.6</v>
      </c>
    </row>
    <row r="201" spans="1:16" x14ac:dyDescent="0.25">
      <c r="A201" t="s">
        <v>7</v>
      </c>
      <c r="B201" s="15">
        <f t="shared" si="30"/>
        <v>0.1</v>
      </c>
      <c r="C201" s="6">
        <f>IF(M201&lt;&gt;"",B201*O201+C200,C200)</f>
        <v>0.82000000000000006</v>
      </c>
      <c r="D201" s="2">
        <f t="shared" si="35"/>
        <v>22200</v>
      </c>
      <c r="E201" s="2">
        <f t="shared" si="26"/>
        <v>12200</v>
      </c>
      <c r="F201" s="4">
        <f>IF(M201&lt;&gt;"",F200+(C201-C200)*D201/G201,F200)</f>
        <v>1080.5714285714287</v>
      </c>
      <c r="G201">
        <f t="shared" si="27"/>
        <v>7</v>
      </c>
      <c r="H201" s="4">
        <f t="shared" si="34"/>
        <v>18204</v>
      </c>
      <c r="I201" s="4">
        <f t="shared" si="33"/>
        <v>9224.3902439024387</v>
      </c>
      <c r="J201" s="4">
        <f t="shared" si="31"/>
        <v>1520.0000000000002</v>
      </c>
      <c r="K201" s="20">
        <f t="shared" si="32"/>
        <v>1.4066631411951349</v>
      </c>
      <c r="L201" s="5" t="str">
        <f>IFERROR(HLOOKUP(M201,$3:$4,2,0),"")</f>
        <v/>
      </c>
      <c r="M201" s="5" t="str">
        <f>IFERROR(HLOOKUP(D201,$8:$9,2,0),"")</f>
        <v/>
      </c>
      <c r="N201" t="str">
        <f>IFERROR(HLOOKUP(M201,$9:$11,3,0),"")</f>
        <v/>
      </c>
      <c r="O201" s="1" t="str">
        <f t="shared" si="28"/>
        <v/>
      </c>
      <c r="P201">
        <f t="shared" si="29"/>
        <v>0.6</v>
      </c>
    </row>
    <row r="202" spans="1:16" x14ac:dyDescent="0.25">
      <c r="A202" t="s">
        <v>7</v>
      </c>
      <c r="B202" s="15">
        <f t="shared" si="30"/>
        <v>0.1</v>
      </c>
      <c r="C202" s="6">
        <f>IF(M202&lt;&gt;"",B202*O202+C201,C201)</f>
        <v>0.82000000000000006</v>
      </c>
      <c r="D202" s="2">
        <f t="shared" si="35"/>
        <v>22300</v>
      </c>
      <c r="E202" s="2">
        <f t="shared" si="26"/>
        <v>12300</v>
      </c>
      <c r="F202" s="4">
        <f>IF(M202&lt;&gt;"",F201+(C202-C201)*D202/G202,F201)</f>
        <v>1080.5714285714287</v>
      </c>
      <c r="G202">
        <f t="shared" si="27"/>
        <v>7</v>
      </c>
      <c r="H202" s="4">
        <f t="shared" si="34"/>
        <v>18286</v>
      </c>
      <c r="I202" s="4">
        <f t="shared" si="33"/>
        <v>9224.3902439024387</v>
      </c>
      <c r="J202" s="4">
        <f t="shared" si="31"/>
        <v>1531.714285714286</v>
      </c>
      <c r="K202" s="20">
        <f t="shared" si="32"/>
        <v>1.4175039661554734</v>
      </c>
      <c r="L202" s="5" t="str">
        <f>IFERROR(HLOOKUP(M202,$3:$4,2,0),"")</f>
        <v/>
      </c>
      <c r="M202" s="5" t="str">
        <f>IFERROR(HLOOKUP(D202,$8:$9,2,0),"")</f>
        <v/>
      </c>
      <c r="N202" t="str">
        <f>IFERROR(HLOOKUP(M202,$9:$11,3,0),"")</f>
        <v/>
      </c>
      <c r="O202" s="1" t="str">
        <f t="shared" si="28"/>
        <v/>
      </c>
      <c r="P202">
        <f t="shared" si="29"/>
        <v>0.6</v>
      </c>
    </row>
    <row r="203" spans="1:16" x14ac:dyDescent="0.25">
      <c r="A203" t="s">
        <v>7</v>
      </c>
      <c r="B203" s="15">
        <f t="shared" si="30"/>
        <v>0.1</v>
      </c>
      <c r="C203" s="6">
        <f>IF(M203&lt;&gt;"",B203*O203+C202,C202)</f>
        <v>0.82000000000000006</v>
      </c>
      <c r="D203" s="2">
        <f t="shared" si="35"/>
        <v>22400</v>
      </c>
      <c r="E203" s="2">
        <f t="shared" si="26"/>
        <v>12400</v>
      </c>
      <c r="F203" s="4">
        <f>IF(M203&lt;&gt;"",F202+(C203-C202)*D203/G203,F202)</f>
        <v>1080.5714285714287</v>
      </c>
      <c r="G203">
        <f t="shared" si="27"/>
        <v>7</v>
      </c>
      <c r="H203" s="4">
        <f t="shared" si="34"/>
        <v>18368</v>
      </c>
      <c r="I203" s="4">
        <f t="shared" si="33"/>
        <v>9224.3902439024387</v>
      </c>
      <c r="J203" s="4">
        <f t="shared" si="31"/>
        <v>1543.4285714285718</v>
      </c>
      <c r="K203" s="20">
        <f t="shared" si="32"/>
        <v>1.428344791115812</v>
      </c>
      <c r="L203" s="5" t="str">
        <f>IFERROR(HLOOKUP(M203,$3:$4,2,0),"")</f>
        <v/>
      </c>
      <c r="M203" s="5" t="str">
        <f>IFERROR(HLOOKUP(D203,$8:$9,2,0),"")</f>
        <v/>
      </c>
      <c r="N203" t="str">
        <f>IFERROR(HLOOKUP(M203,$9:$11,3,0),"")</f>
        <v/>
      </c>
      <c r="O203" s="1" t="str">
        <f t="shared" si="28"/>
        <v/>
      </c>
      <c r="P203">
        <f t="shared" si="29"/>
        <v>0.6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Ciurciun</dc:creator>
  <cp:lastModifiedBy>Mihai Ciurciun</cp:lastModifiedBy>
  <dcterms:created xsi:type="dcterms:W3CDTF">2025-09-12T14:46:52Z</dcterms:created>
  <dcterms:modified xsi:type="dcterms:W3CDTF">2025-09-12T16:11:19Z</dcterms:modified>
</cp:coreProperties>
</file>